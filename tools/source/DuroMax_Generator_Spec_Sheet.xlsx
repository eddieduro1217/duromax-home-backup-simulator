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ME" sheetId="1" state="visible" r:id="rId3"/>
    <sheet name="Generators" sheetId="2" state="visible" r:id="rId4"/>
    <sheet name="Compatibility" sheetId="3" state="visible" r:id="rId5"/>
    <sheet name="Transfer Switches" sheetId="4" state="visible" r:id="rId6"/>
    <sheet name="Interlock Kits" sheetId="5" state="visible" r:id="rId7"/>
    <sheet name="Inlet Boxes" sheetId="6" state="visible" r:id="rId8"/>
    <sheet name="Cords &amp; Adapters" sheetId="7" state="visible" r:id="rId9"/>
    <sheet name="Soft Starters (AirGo)" sheetId="8" state="visible" r:id="rId10"/>
    <sheet name="Connection Guide" sheetId="9" state="visible" r:id="rId11"/>
    <sheet name="Data Flags" sheetId="10" state="visible" r:id="rId12"/>
  </sheets>
  <definedNames>
    <definedName function="false" hidden="true" localSheetId="6" name="_xlnm._FilterDatabase" vbProcedure="false">'Cords &amp; Adapters'!$A$1:$S$30</definedName>
    <definedName function="false" hidden="true" localSheetId="9" name="_xlnm._FilterDatabase" vbProcedure="false">'Data Flags'!$A$1:$C$50</definedName>
    <definedName function="false" hidden="true" localSheetId="1" name="_xlnm._FilterDatabase" vbProcedure="false">Generators!$A$2:$CA$35</definedName>
    <definedName function="false" hidden="true" localSheetId="5" name="_xlnm._FilterDatabase" vbProcedure="false">'Inlet Boxes'!$A$1:$P$11</definedName>
    <definedName function="false" hidden="true" localSheetId="4" name="_xlnm._FilterDatabase" vbProcedure="false">'Interlock Kits'!$A$1:$O$14</definedName>
    <definedName function="false" hidden="true" localSheetId="7" name="_xlnm._FilterDatabase" vbProcedure="false">'Soft Starters (AirGo)'!$A$1:$L$9</definedName>
    <definedName function="false" hidden="true" localSheetId="3" name="_xlnm._FilterDatabase" vbProcedure="false">'Transfer Switches'!$A$1:$Y$20</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L2" authorId="0">
      <text>
        <r>
          <rPr>
            <sz val="10"/>
            <rFont val="Arial"/>
            <family val="2"/>
          </rPr>
          <t xml:space="preserve">From the Compatibility tab. 14-50R: 50A x 240V = 12,000 W. L14-30R: 30A x 240V = 7,200 W.</t>
        </r>
      </text>
    </comment>
  </commentList>
</comments>
</file>

<file path=xl/sharedStrings.xml><?xml version="1.0" encoding="utf-8"?>
<sst xmlns="http://schemas.openxmlformats.org/spreadsheetml/2006/main" count="2507" uniqueCount="1220">
  <si>
    <t xml:space="preserve">DuroMax / DuroStar Home Backup Spec Sheet</t>
  </si>
  <si>
    <t xml:space="preserve">Source: duromaxpower.com, scraped Sept 23-24, 2026. Values are exactly as the website states them; blank = not listed.</t>
  </si>
  <si>
    <t xml:space="preserve">Purpose: the data source for the 3D Home Backup Power simulator. Each tab maps to one data set in the app.</t>
  </si>
  <si>
    <t xml:space="preserve">Tabs</t>
  </si>
  <si>
    <t xml:space="preserve">Generators - 33 current models (28 DuroMax, 5 DuroStar). Excluded as discontinued: XP5500X, XP15000EH, DS13000E, DS13000EH, DS4500DX, DS4000WGE. watts/amps/runtime per fuel, outlets, neutral type (from owner's manuals) and switch requirement, engine, dimensions, links.</t>
  </si>
  <si>
    <t xml:space="preserve">Compatibility - which inlet box, cord, transfer switch and interlock breaker go with each generator outlet. The Generators tab looks these up by formula.</t>
  </si>
  <si>
    <t xml:space="preserve">Transfer Switches - 19 Reliance manual switches and kits (circuits, amps, breakers, inlet required).</t>
  </si>
  <si>
    <t xml:space="preserve">Interlock Kits - 13 GenInterlock kits by panel brand/series, main breaker size, throw direction, backfeed breaker position.</t>
  </si>
  <si>
    <t xml:space="preserve">Inlet Boxes - 10 power inlet boxes (50A CS6375, 30A L14-30, 20A L14-20, 120V L5-30).</t>
  </si>
  <si>
    <t xml:space="preserve">Cords &amp; Adapters - 29 generator cords, adapters and replacement plugs.</t>
  </si>
  <si>
    <t xml:space="preserve">Soft Starters (AirGo) - 8 AirGo products; soft starters cut motor start-up current (site claim: up to 70%) so central AC / heat pumps / well pumps can start on a portable generator.</t>
  </si>
  <si>
    <t xml:space="preserve">Connection Guide - summary of the Home Power Backup Installation article (interlock vs transfer switch vs extension cords), for the app's explainer screens.</t>
  </si>
  <si>
    <t xml:space="preserve">Data Flags - items where the website contradicts itself or is missing data. Please confirm or correct.</t>
  </si>
  <si>
    <t xml:space="preserve">Editing rules</t>
  </si>
  <si>
    <t xml:space="preserve">- Light-blue columns are FORMULAS - do not type over them.</t>
  </si>
  <si>
    <t xml:space="preserve">- Outlet power limits use 240V: 14-50R = 50A x 240V = 12,000 W; L14-30R = 30A x 240V = 7,200 W (matches the installation article). Reliance rates its switches at 250V (12,500 / 7,500 W).</t>
  </si>
  <si>
    <t xml:space="preserve">- "Max to Panel" = the lower of the generator's running watts for that fuel and its outlet limit. This is what the simulator treats as available power.</t>
  </si>
  <si>
    <t xml:space="preserve">- To add a product, copy a row and fill the same columns. Keep Model / SKU unique - the app uses it as the key.</t>
  </si>
  <si>
    <t xml:space="preserve">Identity</t>
  </si>
  <si>
    <t xml:space="preserve">Gasoline</t>
  </si>
  <si>
    <t xml:space="preserve">Propane</t>
  </si>
  <si>
    <t xml:space="preserve">Natural Gas</t>
  </si>
  <si>
    <t xml:space="preserve">Outlets</t>
  </si>
  <si>
    <t xml:space="preserve">Home Connection (calc)</t>
  </si>
  <si>
    <t xml:space="preserve">Neutral / Transfer Switch</t>
  </si>
  <si>
    <t xml:space="preserve">Engine</t>
  </si>
  <si>
    <t xml:space="preserve">Generator</t>
  </si>
  <si>
    <t xml:space="preserve">Features</t>
  </si>
  <si>
    <t xml:space="preserve">Reference</t>
  </si>
  <si>
    <t xml:space="preserve">Brand</t>
  </si>
  <si>
    <t xml:space="preserve">Model</t>
  </si>
  <si>
    <t xml:space="preserve">Product Title</t>
  </si>
  <si>
    <t xml:space="preserve">Generator Type</t>
  </si>
  <si>
    <t xml:space="preserve">Fuel Config</t>
  </si>
  <si>
    <t xml:space="preserve">EFI</t>
  </si>
  <si>
    <t xml:space="preserve">Price (USD)</t>
  </si>
  <si>
    <t xml:space="preserve">Sales Status</t>
  </si>
  <si>
    <t xml:space="preserve">Home Backup Use</t>
  </si>
  <si>
    <t xml:space="preserve">Starting W</t>
  </si>
  <si>
    <t xml:space="preserve">Running W</t>
  </si>
  <si>
    <t xml:space="preserve">120V A</t>
  </si>
  <si>
    <t xml:space="preserve">240V A</t>
  </si>
  <si>
    <t xml:space="preserve">Run hr @25%</t>
  </si>
  <si>
    <t xml:space="preserve">Run hr @50%</t>
  </si>
  <si>
    <t xml:space="preserve">Runtime Tank Basis</t>
  </si>
  <si>
    <t xml:space="preserve">Pressure (in. WC)</t>
  </si>
  <si>
    <t xml:space="preserve">BTU @ Full Load</t>
  </si>
  <si>
    <t xml:space="preserve">5-20R</t>
  </si>
  <si>
    <t xml:space="preserve">L5-30R</t>
  </si>
  <si>
    <t xml:space="preserve">TT-30R</t>
  </si>
  <si>
    <t xml:space="preserve">L14-30R</t>
  </si>
  <si>
    <t xml:space="preserve">14-50R</t>
  </si>
  <si>
    <t xml:space="preserve">USB</t>
  </si>
  <si>
    <t xml:space="preserve">12V DC</t>
  </si>
  <si>
    <t xml:space="preserve">GFCI</t>
  </si>
  <si>
    <t xml:space="preserve">Best 240V Outlet</t>
  </si>
  <si>
    <t xml:space="preserve">Outlet Limit (W)</t>
  </si>
  <si>
    <t xml:space="preserve">Max to Panel - Gas (W)</t>
  </si>
  <si>
    <t xml:space="preserve">Max to Panel - LP (W)</t>
  </si>
  <si>
    <t xml:space="preserve">Max to Panel - NG (W)</t>
  </si>
  <si>
    <t xml:space="preserve">Matching Inlet Box</t>
  </si>
  <si>
    <t xml:space="preserve">Matching Cord</t>
  </si>
  <si>
    <t xml:space="preserve">Matching Transfer Switches</t>
  </si>
  <si>
    <t xml:space="preserve">Interlock Setup</t>
  </si>
  <si>
    <t xml:space="preserve">Neutral (as shipped)</t>
  </si>
  <si>
    <t xml:space="preserve">DuroMax Unbond Instructions</t>
  </si>
  <si>
    <t xml:space="preserve">Switch / Interlock Requirement</t>
  </si>
  <si>
    <t xml:space="preserve">Evidence</t>
  </si>
  <si>
    <t xml:space="preserve">Owner's Manual</t>
  </si>
  <si>
    <t xml:space="preserve">Unbond Instructions URL</t>
  </si>
  <si>
    <t xml:space="preserve">Engine Type</t>
  </si>
  <si>
    <t xml:space="preserve">cc</t>
  </si>
  <si>
    <t xml:space="preserve">RPM</t>
  </si>
  <si>
    <t xml:space="preserve">Start Type</t>
  </si>
  <si>
    <t xml:space="preserve">Remote Start</t>
  </si>
  <si>
    <t xml:space="preserve">Oil Type</t>
  </si>
  <si>
    <t xml:space="preserve">Oil (fl oz)</t>
  </si>
  <si>
    <t xml:space="preserve">CO Shutdown</t>
  </si>
  <si>
    <t xml:space="preserve">EPA</t>
  </si>
  <si>
    <t xml:space="preserve">CARB</t>
  </si>
  <si>
    <t xml:space="preserve">Voltage</t>
  </si>
  <si>
    <t xml:space="preserve">Hz</t>
  </si>
  <si>
    <t xml:space="preserve">THD</t>
  </si>
  <si>
    <t xml:space="preserve">AVR</t>
  </si>
  <si>
    <t xml:space="preserve">Battery</t>
  </si>
  <si>
    <t xml:space="preserve">Tank (gal)</t>
  </si>
  <si>
    <t xml:space="preserve">Dimensions (in)</t>
  </si>
  <si>
    <t xml:space="preserve">Dry Wt (lb)</t>
  </si>
  <si>
    <t xml:space="preserve">Wet Wt (lb)</t>
  </si>
  <si>
    <t xml:space="preserve">Noise (dB)</t>
  </si>
  <si>
    <t xml:space="preserve">Warranty</t>
  </si>
  <si>
    <t xml:space="preserve">Parallel</t>
  </si>
  <si>
    <t xml:space="preserve">Transfer Switch Ready</t>
  </si>
  <si>
    <t xml:space="preserve">ECO / Variable Idle</t>
  </si>
  <si>
    <t xml:space="preserve">Included Accessories</t>
  </si>
  <si>
    <t xml:space="preserve">Product URL</t>
  </si>
  <si>
    <t xml:space="preserve">Image URL</t>
  </si>
  <si>
    <t xml:space="preserve">Scrape Notes</t>
  </si>
  <si>
    <t xml:space="preserve">DuroMax</t>
  </si>
  <si>
    <t xml:space="preserve">XP4850EH</t>
  </si>
  <si>
    <t xml:space="preserve">4,850 Watt Dual Fuel Portable Generator</t>
  </si>
  <si>
    <t xml:space="preserve">Conventional open frame</t>
  </si>
  <si>
    <t xml:space="preserve">Dual Fuel</t>
  </si>
  <si>
    <t xml:space="preserve">No</t>
  </si>
  <si>
    <t xml:space="preserve">Amazon exclusive</t>
  </si>
  <si>
    <t xml:space="preserve">Yes</t>
  </si>
  <si>
    <t xml:space="preserve">Floating</t>
  </si>
  <si>
    <t xml:space="preserve">"Neutral System Floating" (manual p.68)</t>
  </si>
  <si>
    <t xml:space="preserve">https://cdn.shopify.com/s/files/1/0613/1168/0689/files/XP4850eh_manual_revised10042022_WEB.pdf</t>
  </si>
  <si>
    <t xml:space="preserve">4-Stroke OHV</t>
  </si>
  <si>
    <t xml:space="preserve">Electric (rocker switch), recoil</t>
  </si>
  <si>
    <t xml:space="preserve">10W-30</t>
  </si>
  <si>
    <t xml:space="preserve">120/240V</t>
  </si>
  <si>
    <t xml:space="preserve">12V SLA (included)</t>
  </si>
  <si>
    <t xml:space="preserve">25 L x 24 W x 21 H</t>
  </si>
  <si>
    <t xml:space="preserve">3 Year</t>
  </si>
  <si>
    <t xml:space="preserve">Wheel &amp; handle kit, propane hose &amp; regulator (full list not stated)</t>
  </si>
  <si>
    <t xml:space="preserve">https://www.duromaxpower.com/products/duromax-xp4850eh-4850-watt-dual-fuel-hybrid-generator-w-electric-start</t>
  </si>
  <si>
    <t xml:space="preserve">https://cdn.shopify.com/s/files/1/0613/1168/0689/products/XP4850EH_1.png?v=1749582793</t>
  </si>
  <si>
    <t xml:space="preserve">CO shutdown not listed (only automatic low oil shutdown). '50 State Emissions: No'. 12V = '12V Post'. MX2 Power Boost. 'Available Exclusively At' Amazon; .js available=false. THD not listed.</t>
  </si>
  <si>
    <t xml:space="preserve">XP5500HX</t>
  </si>
  <si>
    <t xml:space="preserve">5,500 Watt Dual Fuel Portable HX Generator w/ CO Alert</t>
  </si>
  <si>
    <t xml:space="preserve">In stock</t>
  </si>
  <si>
    <t xml:space="preserve">"Neutral System | Floating" (manual p.72)</t>
  </si>
  <si>
    <t xml:space="preserve">https://cdn.shopify.com/s/files/1/0613/1168/0689/files/XP5500HX_manual_revised_12012023_CARB_EPA_WEB.pdf</t>
  </si>
  <si>
    <t xml:space="preserve">Electric (rocker switch), recoil, remote</t>
  </si>
  <si>
    <t xml:space="preserve">25 L x 23 W x 22 H</t>
  </si>
  <si>
    <t xml:space="preserve">5 Year</t>
  </si>
  <si>
    <t xml:space="preserve">XP5500HX Generator, oil funnel, spark plug wrench, tool set, wheel &amp; handle kit, propane regulator, owner's manual</t>
  </si>
  <si>
    <t xml:space="preserve">https://www.duromaxpower.com/products/5500-watt-7-5-hp-portable-gas-electric-start-generator-with-co-alert</t>
  </si>
  <si>
    <t xml:space="preserve">https://cdn.shopify.com/s/files/1/0613/1168/0689/files/XP5500HX_001.png?v=1749582918</t>
  </si>
  <si>
    <t xml:space="preserve">Compare-at $799. USB = 1 USB-A + 1 USB-C. THD not listed. Described as RV/home backup ready; no transfer-switch wording. Handle mentions 7.5 HP.</t>
  </si>
  <si>
    <t xml:space="preserve">XP10000X</t>
  </si>
  <si>
    <t xml:space="preserve">10,000 Watt Gasoline Portable Generator w/ CO Alert</t>
  </si>
  <si>
    <t xml:space="preserve">Sold out / unavailable</t>
  </si>
  <si>
    <t xml:space="preserve">"Neutral System Floating" (manual p.64)</t>
  </si>
  <si>
    <t xml:space="preserve">https://cdn.shopify.com/s/files/1/0613/1168/0689/files/XP10000X_manual_revised_07152022_WEB.pdf?v=1658848035</t>
  </si>
  <si>
    <t xml:space="preserve">29 L x 30 W x 26 H</t>
  </si>
  <si>
    <t xml:space="preserve">Oil funnel, spark plug wrench, tool set, wheel &amp; handle kit, owner's manual</t>
  </si>
  <si>
    <t xml:space="preserve">https://www.duromaxpower.com/products/duromax-xp10000x-10-000-watt-439cc-gas-portable-generator-with-co-alert</t>
  </si>
  <si>
    <t xml:space="preserve">https://cdn.shopify.com/s/files/1/0613/1168/0689/files/XP10000X_001.jpg?v=1749582881</t>
  </si>
  <si>
    <t xml:space="preserve">Compare-at $1,199. Spec table says 420cc but URL handle says 439cc. '50 State Emissions: No' (CARB inferred false). Transfer switch-ready 50A outlet; digital multimeter, hour meter, fuel gauge. THD and remote start not listed. Page showed no stock status; .js available=false.</t>
  </si>
  <si>
    <t xml:space="preserve">XP11500EH</t>
  </si>
  <si>
    <t xml:space="preserve">11,500 Watt Dual Fuel Portable Generator</t>
  </si>
  <si>
    <t xml:space="preserve">https://cdn.shopify.com/s/files/1/0613/1168/0689/files/XP11500EH_manual_revised_07262022_WEB.pdf?v=1659652695</t>
  </si>
  <si>
    <t xml:space="preserve">3 Year parts and technical service</t>
  </si>
  <si>
    <t xml:space="preserve">https://www.duromaxpower.com/products/duromax-xp11500eh-11500-watt-electric-start-dual-fuel-hybrid-portable-generator</t>
  </si>
  <si>
    <t xml:space="preserve">https://cdn.shopify.com/s/files/1/0613/1168/0689/products/XP11500EH_1.png?v=1749582880</t>
  </si>
  <si>
    <t xml:space="preserve">LP 240V amps stated as 45.52 (likely site typo; 8550W/240V = 35.6) - recorded as stated. CO shutdown not listed (only automatic low oil shutdown). CARB/THD/12V not listed. Page says 'Available Exclusively At' Amazon; .js available=false. RV/home backup ready; digital multimeter, fuel gauge.</t>
  </si>
  <si>
    <t xml:space="preserve">XP13000HXT</t>
  </si>
  <si>
    <t xml:space="preserve">13,000 Watt Tri Fuel Portable HXT Generator w/ CO Alert</t>
  </si>
  <si>
    <t xml:space="preserve">Tri Fuel</t>
  </si>
  <si>
    <t xml:space="preserve">6.0-9.0</t>
  </si>
  <si>
    <t xml:space="preserve">"Neutral System Floating" (manual p.80)</t>
  </si>
  <si>
    <t xml:space="preserve">https://cdn.shopify.com/s/files/1/0613/1168/0689/files/XP13000HXT_manual_revised_02072025_WEB.pdf?v=1755815346</t>
  </si>
  <si>
    <t xml:space="preserve">Push button electric start, recoil backup</t>
  </si>
  <si>
    <t xml:space="preserve">&lt;5%</t>
  </si>
  <si>
    <t xml:space="preserve">30 L x 29 W x 26 H</t>
  </si>
  <si>
    <t xml:space="preserve">5 Year parts and technical service</t>
  </si>
  <si>
    <t xml:space="preserve">Generator, oil funnel, spark plug wrench, tool set, wheel &amp; handle kit, 15ft natural gas hose, propane regulator, remote control, owner's manual</t>
  </si>
  <si>
    <t xml:space="preserve">https://www.duromaxpower.com/products/duromax-xp13000hxt-13000-watt-500cc-tri-fuel-gas-propane-natural-gas-portable-generator-with-co-alert</t>
  </si>
  <si>
    <t xml:space="preserve">https://cdn.shopify.com/s/files/1/0613/1168/0689/files/XP13000HXT_001_d1629492-0800-4e8e-ab99-6ed654584d11.png?v=1775171669</t>
  </si>
  <si>
    <t xml:space="preserve">Compare-at $2,199. 'Home Backup Ready'; no explicit transfer-switch-ready spec (FAQ recommends transfer switch/interlock). LP 120V amps 79.16 differs from XP13000HX (83.13) for same wattage - as stated on site. Parallel/ECO not listed.</t>
  </si>
  <si>
    <t xml:space="preserve">XP13000HX</t>
  </si>
  <si>
    <t xml:space="preserve">13,000 Watt Dual Fuel Portable HX Generator w/ CO Alert</t>
  </si>
  <si>
    <t xml:space="preserve">https://cdn.shopify.com/s/files/1/0613/1168/0689/files/XP13000HX_manual_revised_09162022_WEB.pdf?v=1663372666</t>
  </si>
  <si>
    <t xml:space="preserve">Generator, oil funnel, spark plug wrench, tool set, wheel &amp; handle kit, propane regulator, owner's manual</t>
  </si>
  <si>
    <t xml:space="preserve">https://www.duromaxpower.com/products/13000-watt-18-hp-portable-gas-electric-start-generator-with-co-alert</t>
  </si>
  <si>
    <t xml:space="preserve">https://cdn.shopify.com/s/files/1/0613/1168/0689/files/XP13000HX_001_52f77030-00ba-469f-9e97-22f772b348eb.png?v=1771880002</t>
  </si>
  <si>
    <t xml:space="preserve">Compare-at $1,799. Spec table: 'Remote Start No'. 'Home Backup Ready'; no explicit transfer-switch-ready spec row. Handle mentions 18 HP. Parallel/ECO not listed.</t>
  </si>
  <si>
    <t xml:space="preserve">XP13000EH</t>
  </si>
  <si>
    <t xml:space="preserve">13,000 Watt Dual Fuel Portable Generator</t>
  </si>
  <si>
    <t xml:space="preserve">https://cdn.shopify.com/s/files/1/0613/1168/0689/files/XP13000EH_manual_rev06172022_WEB.pdf?v=1656093569</t>
  </si>
  <si>
    <t xml:space="preserve">Push button electric start, recoil, remote</t>
  </si>
  <si>
    <t xml:space="preserve">Generator, oil funnel, spark plug wrench, tool set, wheel &amp; handle kit, propane hose &amp; regulator, owner's manual</t>
  </si>
  <si>
    <t xml:space="preserve">https://www.duromaxpower.com/products/duromax-xp13000eh-13000-watt-portable-hybrid-gas-propane-generator</t>
  </si>
  <si>
    <t xml:space="preserve">https://cdn.shopify.com/s/files/1/0613/1168/0689/products/XP13000EH_1.png?v=1749582853</t>
  </si>
  <si>
    <t xml:space="preserve">Compare-at $1,699. Page shows 'Sold Out'. 12V = '12v Automotive' outlet. Transfer switch-ready 50A outlet. THD not listed.</t>
  </si>
  <si>
    <t xml:space="preserve">XP15500HXT</t>
  </si>
  <si>
    <t xml:space="preserve">15,500 Watt Tri Fuel Portable HXT Generator w/ CO Alert</t>
  </si>
  <si>
    <t xml:space="preserve">60 lb</t>
  </si>
  <si>
    <t xml:space="preserve">6-9</t>
  </si>
  <si>
    <t xml:space="preserve">Floating - confirmed by DuroMax (Eddie), Sept 2026</t>
  </si>
  <si>
    <t xml:space="preserve">3600 RPM ±100 RPM</t>
  </si>
  <si>
    <t xml:space="preserve">Electric/Recoil/Remote</t>
  </si>
  <si>
    <t xml:space="preserve">12V AGM</t>
  </si>
  <si>
    <t xml:space="preserve">31" L x 28.25" W x 28.25" H</t>
  </si>
  <si>
    <t xml:space="preserve">5 Year parts and technical service warranty</t>
  </si>
  <si>
    <t xml:space="preserve">Generator, oil funnel, spark plug wrench, tool set, wheel kit, battery tender cord, natural gas hose, propane regulator, remote control, manual</t>
  </si>
  <si>
    <t xml:space="preserve">https://www.duromaxpower.com/products/duromax-15500-watt-tri-fuel-portable-hxt-generator-w-co-alert</t>
  </si>
  <si>
    <t xml:space="preserve">https://cdn.shopify.com/s/files/1/0613/1168/0689/files/XP15500HXT_001.jpg?v=1789610380</t>
  </si>
  <si>
    <t xml:space="preserve">Compare-at $2,999. LP runtimes on 60 lb tank. '50 State Compliant No'/'Not For Sale to California'. Package weight 279.4 lbs. Idle Control No. Carburetor. Cast iron sleeve, copper windings, RV Ready. AVR/parallel not stated. Accessories list paraphrased by fetch tool.</t>
  </si>
  <si>
    <t xml:space="preserve">XP15500HX</t>
  </si>
  <si>
    <t xml:space="preserve">15,500 Watt Dual Fuel Portable HX Generator w/ CO Alert</t>
  </si>
  <si>
    <t xml:space="preserve">31" L x 29" W x 28.75" H</t>
  </si>
  <si>
    <t xml:space="preserve">XP15500HX Generator, Oil Funnel, Spark Plug Wrench, Tool Set, Remote Control, Battery Tender Cord, Propane Regulator, Wheel &amp; Handle Kit, and Owner's Manual</t>
  </si>
  <si>
    <t xml:space="preserve">https://www.duromaxpower.com/products/duromax-15500-watt-dual-fuel-portable-hx-generator-w-co-alert</t>
  </si>
  <si>
    <t xml:space="preserve">https://cdn.shopify.com/s/files/1/0613/1168/0689/files/XP17500HX_001_420214b7-6bcd-4b7b-8495-f81ceed44982.jpg?v=1789608991</t>
  </si>
  <si>
    <t xml:space="preserve">'Launch Exclusive Pricing' $2,299, compare-at $2,699. First image file is named XP17500HX (site reuses image). LP runtimes on 60 lb tank. 'Not For Sale to California'. Package weight 279.4 lbs. Idle Control No. Carburetor. AVR/parallel not stated. Dimensions differ slightly from XP15500HXT (29 in W vs 28.25 in).</t>
  </si>
  <si>
    <t xml:space="preserve">XP15000HXT+</t>
  </si>
  <si>
    <t xml:space="preserve">15,000 Watt Electric Start Tri Fuel EFI Portable Generator</t>
  </si>
  <si>
    <t xml:space="preserve">Bonded</t>
  </si>
  <si>
    <t xml:space="preserve">"Neutral System Bonded" (manual p.80)</t>
  </si>
  <si>
    <t xml:space="preserve">https://cdn.shopify.com/s/files/1/0613/1168/0689/files/XP15000HXT__manual_03042025_WEB_1.pdf?v=1755808459</t>
  </si>
  <si>
    <t xml:space="preserve">3600 RPM +/- 100 RPM</t>
  </si>
  <si>
    <t xml:space="preserve">Push Button Electric/Recoil/Remote</t>
  </si>
  <si>
    <t xml:space="preserve">29.5" L x 28" W x 26" H</t>
  </si>
  <si>
    <t xml:space="preserve">Oil Funnel, Spark Plug Wrench, Tool Set, Wheel &amp; Handle Kit, 25-Foot x 1/2-Inch Natural Gas Hose, Propane Regulator, Remote Control, Battery Tender</t>
  </si>
  <si>
    <t xml:space="preserve">https://www.duromaxpower.com/products/duromax-15-000-watt-electric-start-tri-fuel-efi-portable-generator</t>
  </si>
  <si>
    <t xml:space="preserve">https://cdn.shopify.com/s/files/1/0613/1168/0689/files/XP15000HXT__001_Hero_3.png?v=1749582372</t>
  </si>
  <si>
    <t xml:space="preserve">Compare-at $3,799. EPA and CARB certified, 50 State Emissions Yes. Packaged weight 245 lbs (no wet weight). GFCI outlets 4. LP runtimes on 60 lb tank. NG 120V amps listed as 85.5 (inconsistent with 10,500W/120V=87.5; recorded as stated). Idle/eco and parallel not stated.</t>
  </si>
  <si>
    <t xml:space="preserve">XP15000HX+</t>
  </si>
  <si>
    <t xml:space="preserve">15,000 Watt Electric Start Dual Fuel EFI Portable Generator</t>
  </si>
  <si>
    <t xml:space="preserve">"Neutral System Bonded" (manual p.74)</t>
  </si>
  <si>
    <t xml:space="preserve">https://cdn.shopify.com/s/files/1/0613/1168/0689/files/XP15000HX__manual_08272025_WEB.pdf?v=1756401571</t>
  </si>
  <si>
    <t xml:space="preserve">https://cdn.shopify.com/s/files/1/0613/1168/0689/files/XP15000HX__Remove_Bond_Instructions_WEB.pdf?v=1761163937</t>
  </si>
  <si>
    <t xml:space="preserve">Oil Funnel, Spark Plug Wrench, Tool Set, Wheel &amp; Handle Kit, Propane Regulator, Remote Control, Battery Tender</t>
  </si>
  <si>
    <t xml:space="preserve">https://www.duromaxpower.com/products/duromax-xp15000hx-15-000-watt-electric-start-dual-fuel-efi-portable-generator</t>
  </si>
  <si>
    <t xml:space="preserve">https://cdn.shopify.com/s/files/1/0613/1168/0689/files/XP15000HX__001.png?v=1754082484</t>
  </si>
  <si>
    <t xml:space="preserve">Page mentions sale from $3,299 (compare-at not in JSON fetch). Gas runtime @50% stated as 10 hrs (HXT+ sibling says 12 hrs; confirmed on re-fetch). EPA and CARB certified, 50 State Emissions Yes. Packaged weight 245 lbs. GFCI outlets 4. LP runtimes on 60 lb tank. Idle/eco and parallel not stated.</t>
  </si>
  <si>
    <t xml:space="preserve">XP15000HXT</t>
  </si>
  <si>
    <t xml:space="preserve">15,000 Watt Electric Start Tri Fuel Portable Generator</t>
  </si>
  <si>
    <t xml:space="preserve">https://cdn.shopify.com/s/files/1/0613/1168/0689/files/XP15000HXT_manual_02072025_WEB.pdf?v=1755815346</t>
  </si>
  <si>
    <t xml:space="preserve">https://cdn.shopify.com/s/files/1/0613/1168/0689/files/XP15000HXT_Remove_Bond_Instructions.pdf?v=1786147971</t>
  </si>
  <si>
    <t xml:space="preserve">36" L x 33.2" W x 32" H</t>
  </si>
  <si>
    <t xml:space="preserve">Generator, oil funnel, spark plug wrench, tool set, wheel &amp; handle kit, 15-Foot x 3/4-Inch Natural Gas Hose, propane regulator, remote control, manual</t>
  </si>
  <si>
    <t xml:space="preserve">https://www.duromaxpower.com/products/duromax-xp15000hxt-15-000-watt-electric-start-tri-fuel-portable-generator</t>
  </si>
  <si>
    <t xml:space="preserve">https://cdn.shopify.com/s/files/1/0613/1168/0689/files/XP15000HXT_001.jpg?v=1749582562</t>
  </si>
  <si>
    <t xml:space="preserve">Compare-at $2,999. CARB Certified No, 50 State Compliant No. Packaged weight 421 lbs. GFCI outlets 4. LP runtimes 12.5/8.5 hrs with 60 lb minimum tank. Carburetor. Idle Control spec reads 'Idle Control No Load Low Idle' - ambiguous (may mean feature is 'No Load Low Idle'), eco_mode left null. All metal construction, copper windings, RV Ready. Parallel not stated. Accessory list paraphrased by fetch tool.</t>
  </si>
  <si>
    <t xml:space="preserve">XP15000HX</t>
  </si>
  <si>
    <t xml:space="preserve">15,000 Watt Electric Start Dual Fuel Portable Generator</t>
  </si>
  <si>
    <t xml:space="preserve">https://cdn.shopify.com/s/files/1/0613/1168/0689/files/XP15000HX_manual_12012023_EPA_CARB_version_WEB.pdf</t>
  </si>
  <si>
    <t xml:space="preserve">https://cdn.shopify.com/s/files/1/0613/1168/0689/files/XP15000HX_Remove_Bond_Instructions.pdf?v=1786148129</t>
  </si>
  <si>
    <t xml:space="preserve">XP13000HX Generator Oil Funnel Spark Plug Wrench Tool Set Wheel &amp; Handle Kit Propane Regulator Owner's Manual</t>
  </si>
  <si>
    <t xml:space="preserve">https://www.duromaxpower.com/products/duromax-xp15000hx-15-000-watt-electric-start-dual-fuel-portable-generator</t>
  </si>
  <si>
    <t xml:space="preserve">https://cdn.shopify.com/s/files/1/0613/1168/0689/files/XP15000HX_001_f4c2fb68-68cc-4216-aac6-e6e023c75aaf.jpg?v=1749582565</t>
  </si>
  <si>
    <t xml:space="preserve">No compare-at price. Frequency not stated on page (null). CARB Certified No, 50 State Compliant No. Packaged weight 404 lbs. GFCI outlets 4. Mentions 'transfer switch-ready 50 amp outlet'. Accessories list verbatim says 'XP13000HX Generator' (site typo) and omits remote, though another fetch said remote control included and remote start is listed. Idle Control spec 'No Load Low Idle' ambiguous -&gt; eco_mode null. Parallel not stated.</t>
  </si>
  <si>
    <t xml:space="preserve">XP17500HXT</t>
  </si>
  <si>
    <t xml:space="preserve">17,500 Watt Tri Fuel Portable HXT Generator w/ CO Alert</t>
  </si>
  <si>
    <t xml:space="preserve">31" L x 28" W x 28.75" H</t>
  </si>
  <si>
    <t xml:space="preserve">Propane Hose and Regulator, Natural Gas Hose with Quick Connect, Quick Pin Wheel Kit, Oil Funnel, Spark Plug Wrench, Remote Control, Battery Tender, Tool Set, Owner's Manual</t>
  </si>
  <si>
    <t xml:space="preserve">https://www.duromaxpower.com/products/duromax-17500-watt-tri-fuel-portable-hxt-generator-w-co-alert</t>
  </si>
  <si>
    <t xml:space="preserve">https://cdn.shopify.com/s/files/1/0613/1168/0689/files/XP17500HXT_001_7a0b6916-e040-4c11-8814-ea1d1273ef6c.jpg?v=1789581239</t>
  </si>
  <si>
    <t xml:space="preserve">Compare-at $3,499. LP runtimes on 60 lb tank. 'Not For Sale to California'. Package weight 279.4 lbs (no wet weight listed). Idle Control No. Fuel delivery: Carburetor. Copper windings. AVR not stated. GFCI Yes (count not stated). Parallel: one fetch summary said 'parallel-ready (kits sold separately)' but a targeted re-fetch found it not stated in specs -&gt; null, verify. L5-30R not listed.</t>
  </si>
  <si>
    <t xml:space="preserve">XP17500HX</t>
  </si>
  <si>
    <t xml:space="preserve">17,500 Watt Dual Fuel Portable HX Generator w/ CO Alert</t>
  </si>
  <si>
    <t xml:space="preserve">XP17500HX Generator, Oil Funnel, Spark Plug Wrench, Tool Set, Remote Control, Battery Tender Cord, Propane Regulator, Wheel &amp; Handle Kit, and Owner's Manual</t>
  </si>
  <si>
    <t xml:space="preserve">https://www.duromaxpower.com/products/duromax-17500-watt-dual-fuel-portable-hx-generator-w-co-alert</t>
  </si>
  <si>
    <t xml:space="preserve">https://cdn.shopify.com/s/files/1/0613/1168/0689/files/XP17500HX_001.jpg?v=1789581305</t>
  </si>
  <si>
    <t xml:space="preserve">No compare-at price. LP runtimes on 60 lb tank. 'Not For Sale to California'. Package weight 279.4 lbs. Idle Control No. Carburetor. RV Ready. AVR not stated. GFCI Yes (count not stated). Parallel not stated in specs (page mentions parallel kits sold separately as accessories).</t>
  </si>
  <si>
    <t xml:space="preserve">XP2300iH</t>
  </si>
  <si>
    <t xml:space="preserve">2,300 Watt Portable Dual Fuel Inverter Generator - Quiet, Low THD</t>
  </si>
  <si>
    <t xml:space="preserve">Inverter</t>
  </si>
  <si>
    <t xml:space="preserve">No (120V only)</t>
  </si>
  <si>
    <t xml:space="preserve">20 lb</t>
  </si>
  <si>
    <t xml:space="preserve">"Neutral System Bonded" (manual p.60)</t>
  </si>
  <si>
    <t xml:space="preserve">https://cdn.shopify.com/s/files/1/0613/1168/0689/files/XP2300iH_manual_revised_04042024_EPA_CARB_WEB.pdf</t>
  </si>
  <si>
    <t xml:space="preserve">3600-5300</t>
  </si>
  <si>
    <t xml:space="preserve">Recoil / Remote</t>
  </si>
  <si>
    <t xml:space="preserve">120V</t>
  </si>
  <si>
    <t xml:space="preserve">&lt;3%</t>
  </si>
  <si>
    <t xml:space="preserve">22 x 14 x 20</t>
  </si>
  <si>
    <t xml:space="preserve">Propane hose/regulator, oil funnel, spark plug wrench, parallel cable, owner's manual (wheel &amp; handle kit listed as included)</t>
  </si>
  <si>
    <t xml:space="preserve">https://www.duromaxpower.com/products/duromax-xp2300ih-2300-watt-80cc-dual-fuel-inverter-generator-with-co-alert</t>
  </si>
  <si>
    <t xml:space="preserve">https://cdn.shopify.com/s/files/1/0613/1168/0689/files/XP2300iHHeroTransparent.jpg?v=1749582822</t>
  </si>
  <si>
    <t xml:space="preserve">compare-at $799. RPM listed as 3600-5300 (string). USB = 1 USB-A + 1 USB-C. Site lists 'Remote Start: Yes' but no electric start/battery - verify. Eco = 'Demand Based Variable Idle'. RV Ready, CO Alert. Propane min 20 lb tank suggested. GFCI and 12V DC not listed. Not home-backup/transfer-switch listed (set false = not listed).</t>
  </si>
  <si>
    <t xml:space="preserve">XP7000iH</t>
  </si>
  <si>
    <t xml:space="preserve">7,000 Watt Portable Dual Fuel Inverter Generator - Quiet, Low THD</t>
  </si>
  <si>
    <t xml:space="preserve">Pre-order</t>
  </si>
  <si>
    <t xml:space="preserve">00 lb</t>
  </si>
  <si>
    <t xml:space="preserve">"Neutral System Bonded" (manual p.72)</t>
  </si>
  <si>
    <t xml:space="preserve">https://cdn.shopify.com/s/files/1/0613/1168/0689/files/XP7000iH_manual_revised_02162024_WEB.pdf?v=1714662622</t>
  </si>
  <si>
    <t xml:space="preserve">https://cdn.shopify.com/s/files/1/0613/1168/0689/files/XP7000iH_Inverters.pdf?v=1735255332</t>
  </si>
  <si>
    <t xml:space="preserve">Push Button Electric / Recoil / Remote</t>
  </si>
  <si>
    <t xml:space="preserve">25.1 x 19.4 x 21.38</t>
  </si>
  <si>
    <t xml:space="preserve">Generator, propane hose with regulator, oil funnel, spark plug wrench, remote control, battery tender, owner's manual, wheel &amp; handle kit</t>
  </si>
  <si>
    <t xml:space="preserve">https://www.duromaxpower.com/products/duromax-xp7000ih-7000-watt-dual-fuel-portable-digital-inverter-generator</t>
  </si>
  <si>
    <t xml:space="preserve">https://cdn.shopify.com/s/files/1/0613/1168/0689/files/XP7000iH_001.png?v=1749582560</t>
  </si>
  <si>
    <t xml:space="preserve">compare-at $1,999. Page shows 'Pre-Order - Ships Week Of: 1/4/2027' although JSON available=true. Weight listed only as 147 lbs (dry vs wet unclear; recorded in notes, not fields). Propane runtimes listed per tank size 40/60/100 lb; lp_runtime values recorded are for 40 lb tank (26/39/43.33 @25%, 14/21/23.33 @50%). Eco = 'Demand Based Variable Idle'. Home Backup Ready via L14-30R.</t>
  </si>
  <si>
    <t xml:space="preserve">XP7000iHT</t>
  </si>
  <si>
    <t xml:space="preserve">7,000 Watt Portable Tri Fuel Inverter Generator - Quiet, Low THD</t>
  </si>
  <si>
    <t xml:space="preserve">"Neutral System Bonded" (manual p.78)</t>
  </si>
  <si>
    <t xml:space="preserve">https://cdn.shopify.com/s/files/1/0613/1168/0689/files/XP7000iHT_manual_revised_11102025_WEB.pdf?v=1762799463</t>
  </si>
  <si>
    <t xml:space="preserve">https://cdn.shopify.com/s/files/1/0613/1168/0689/files/XP7000iHT_removing_the_bond_instructions_WEB.pdf</t>
  </si>
  <si>
    <t xml:space="preserve">XP7000iHT Generator, Propane Regulator, 15-Foot x 1/2-Inch Natural Gas Hose, Oil Funnel, Spark Plug Wrench, Remote Control, Battery Tender, Owner's Manual (wheel kit included)</t>
  </si>
  <si>
    <t xml:space="preserve">https://www.duromaxpower.com/products/duromax-xp7000iht-7000-watt-portable-tri-fuel-inverter-generator-w-co-alert</t>
  </si>
  <si>
    <t xml:space="preserve">https://cdn.shopify.com/s/files/1/0613/1168/0689/files/XP7000iHT_001.png?v=1750803563</t>
  </si>
  <si>
    <t xml:space="preserve">compare-at $2,299. In stock. Weight listed only as 147 lbs (dry vs wet unclear). Propane runtimes listed per tank size 40/60/100 lb; lp_runtime values recorded are for 40 lb tank (26/39/43.33 @25%, 14/21/23.33 @50%). Eco = 'Demand Based Variable Idle'.</t>
  </si>
  <si>
    <t xml:space="preserve">XP9500iH</t>
  </si>
  <si>
    <t xml:space="preserve">9,500 Watt Portable Dual Fuel Inverter Generator - Quiet, Low THD</t>
  </si>
  <si>
    <t xml:space="preserve">https://cdn.shopify.com/s/files/1/0613/1168/0689/files/XP9500iH_manual_revised_09162026_WEB.pdf?v=1789592677</t>
  </si>
  <si>
    <t xml:space="preserve">https://cdn.shopify.com/s/files/1/0613/1168/0689/files/XP9500iH_removing_the_bond_instructions_version_1_2_WEB.pdf?v=1747339695</t>
  </si>
  <si>
    <t xml:space="preserve">12V AGM Gel (included)</t>
  </si>
  <si>
    <t xml:space="preserve">26.2 x 25 x 29.6</t>
  </si>
  <si>
    <t xml:space="preserve">Generator, 4-foot propane hose/regulator, oil funnel, spark plug wrench, remote control, battery tender, owner's manual (wheel kit included)</t>
  </si>
  <si>
    <t xml:space="preserve">https://www.duromaxpower.com/products/duromax-xp9500ih-9500-watt-dual-fuel-portable-digital-inverter-generator</t>
  </si>
  <si>
    <t xml:space="preserve">https://cdn.shopify.com/s/files/1/0613/1168/0689/files/XP9500iH_001.png?v=1749582557</t>
  </si>
  <si>
    <t xml:space="preserve">compare-at $2,699. In stock. AVR not listed. Propane runtimes listed per tank size 40/60/100 lb; lp_runtime values recorded are for 40 lb tank (19/28.5/47.5 @25%, 10/15/20.25 @50%). Battery listed as '12V AGM Gel Battery' in one place, '12V AGM' in another. RV Ready, Home Backup Ready (50A). Eco = 'Demand Based Variable Idle'.</t>
  </si>
  <si>
    <t xml:space="preserve">XP9500iHT</t>
  </si>
  <si>
    <t xml:space="preserve">9,500 Watt Portable Tri Fuel Inverter Generator - Quiet, Low THD</t>
  </si>
  <si>
    <t xml:space="preserve">https://cdn.shopify.com/s/files/1/0613/1168/0689/files/XP9500iHT_manual_revised_09162026_WEB.pdf?v=1789592676</t>
  </si>
  <si>
    <t xml:space="preserve">12V AGM (included)</t>
  </si>
  <si>
    <t xml:space="preserve">XP9500iHT Generator, 15-foot x 1/2-inch Natural Gas Hose, 4 Foot Propane Hose w/ Regulator, Oil Funnel, Spark Plug Wrench, Remote Control, Battery Tender, Owner's Manual (wheel kit included)</t>
  </si>
  <si>
    <t xml:space="preserve">https://www.duromaxpower.com/products/duromax-xp9500iht-9500-watt-portable-tri-fuel-inverter-generator-w-co-alert</t>
  </si>
  <si>
    <t xml:space="preserve">https://cdn.shopify.com/s/files/1/0613/1168/0689/files/X9500iHT_001_35af19e1-6413-49ed-a6dc-07348e1781c9.png?v=1765312039</t>
  </si>
  <si>
    <t xml:space="preserve">compare-at $2,999. In stock. AVR not listed. Propane runtimes listed per tank size 40/60/100 lb; lp_runtime values recorded are for 40 lb tank (19/28.5/47.5 @25%, 10/15/20.25 @50%). RV Ready. Eco = 'Demand Based Variable Idle'.</t>
  </si>
  <si>
    <t xml:space="preserve">XP11000iH</t>
  </si>
  <si>
    <t xml:space="preserve">11,000 Watt Portable Dual Fuel Inverter Generator - Quiet, Low THD</t>
  </si>
  <si>
    <t xml:space="preserve">https://cdn.shopify.com/s/files/1/0613/1168/0689/files/XP11000iH_manual_revised_09162026_WEB.pdf?v=1789592676</t>
  </si>
  <si>
    <t xml:space="preserve">https://cdn.shopify.com/s/files/1/0613/1168/0689/files/XP11000iH_removing_the_bond_instructions_version_1_2_WEB.pdf?v=1747339695</t>
  </si>
  <si>
    <t xml:space="preserve">Generator, 4 foot propane hose &amp; regulator, oil funnel, spark plug wrench, remote control, battery tender, owner's manual (wheel &amp; handle kit included)</t>
  </si>
  <si>
    <t xml:space="preserve">https://www.duromaxpower.com/products/duromax-xp11000ih-11000-watt-dual-fuel-portable-digital-inverter-generator</t>
  </si>
  <si>
    <t xml:space="preserve">https://cdn.shopify.com/s/files/1/0613/1168/0689/files/XP11000iH_001.png?v=1749582555</t>
  </si>
  <si>
    <t xml:space="preserve">compare-at $2,599. In stock. AVR not listed. Weight 226 lb listed as 'Product weight' (recorded as wet). Propane runtimes listed per tank size 40/60/100 lb; lp_runtime values recorded are for 40 lb tank (16/24/40 @25%, 8/12/20 @50%). Feature: 'DC Output - Charge 48V/52V battery banks such as Tesla Powerwall' (not a 12V DC outlet). 4 GFCI outlets. Eco = 'Demand Based Variable Idle'.</t>
  </si>
  <si>
    <t xml:space="preserve">XP11000iHT</t>
  </si>
  <si>
    <t xml:space="preserve">11,000 Watt Portable Tri Fuel Inverter Generator - Quiet, Low THD</t>
  </si>
  <si>
    <t xml:space="preserve">https://cdn.shopify.com/s/files/1/0613/1168/0689/files/XP11000iHT_manual_revised_01092026_WEB_26de0f28-3de3-4150-b792-89df5c120acb.pdf?v=1789592676</t>
  </si>
  <si>
    <t xml:space="preserve">https://cdn.shopify.com/s/files/1/0613/1168/0689/files/XP11000iHT_removing_the_bond_instructions_WEB.pdf?v=1761163937</t>
  </si>
  <si>
    <t xml:space="preserve">Generator, propane regulator, natural gas hose, oil funnel, spark plug wrench, remote control, battery tender, owner's manual (wheel kit included)</t>
  </si>
  <si>
    <t xml:space="preserve">https://www.duromaxpower.com/products/duromax-xp11000iht-11000-watt-portable-tri-fuel-inverter-generator-w-co-alert</t>
  </si>
  <si>
    <t xml:space="preserve">https://cdn.shopify.com/s/files/1/0613/1168/0689/files/XP11000iHT_001_c49e7dcc-db62-4212-a7fd-24fea20ba76f.png?v=1750201964</t>
  </si>
  <si>
    <t xml:space="preserve">compare-at $3,499. Available. AVR not listed. Wet weight not listed; 'Product weight' 258 lbs (differs from XP11000iH's 226). Propane runtimes listed per tank size 40/60/100 lb; lp_runtime values recorded are for 40 lb tank (16/24/40 @25%, 8/12/20 @50%). Feature: 'DC Output - Charge 48V/52V battery banks such as Tesla Powerwall'. RV Ready. 4 GFCI outlets. Eco = 'Demand Based Variable Idle'.</t>
  </si>
  <si>
    <t xml:space="preserve">XP13500iH</t>
  </si>
  <si>
    <t xml:space="preserve">13,500 Watt Portable Dual Fuel Inverter Generator - Quiet, Low THD</t>
  </si>
  <si>
    <t xml:space="preserve">40 lb</t>
  </si>
  <si>
    <t xml:space="preserve">https://cdn.shopify.com/s/files/1/0613/1168/0689/files/XP13500iH_manual_revised_02132026_PRINT_2_3.pdf?v=1787850983</t>
  </si>
  <si>
    <t xml:space="preserve">https://cdn.shopify.com/s/files/1/0613/1168/0689/files/XP13500iH_removing_the_bond_instructions_WEB.pdf?v=1786148204</t>
  </si>
  <si>
    <t xml:space="preserve">Push Button, Electric, Recoil, Remote</t>
  </si>
  <si>
    <t xml:space="preserve">32 x 22.75 x 26.5</t>
  </si>
  <si>
    <t xml:space="preserve">Propane hose/regulator, oil funnel, spark plug wrench, remote control, tool set, DC cables, battery tender, owner's manual</t>
  </si>
  <si>
    <t xml:space="preserve">https://www.duromaxpower.com/products/duromax-13500-watt-portable-dual-fuel-inverter-generator-quiet-low-thd</t>
  </si>
  <si>
    <t xml:space="preserve">https://cdn.shopify.com/s/files/1/0613/1168/0689/files/XP13500iH_001_2.png?v=1787764844</t>
  </si>
  <si>
    <t xml:space="preserve">Launch price $2,699 (compare-at $3,199). In stock. Propane runtimes on 40 lb tank. Noise 66 dB @ 25% load. Oil 50.7 fl oz (1.5 L). transfer_switch_ready inferred from 'Home Backup Ready' (50A outlet), not an explicit 'transfer switch ready' row. eco_mode = 'Demand-Based Variable Idle'. DC output for 48V/52V battery banks (not a 12V DC outlet). AVR, wet weight, parallel not listed. Warranty stated as 5 years.</t>
  </si>
  <si>
    <t xml:space="preserve">XP13500iHT</t>
  </si>
  <si>
    <t xml:space="preserve">13,500 Watt Portable Tri Fuel Inverter Generator - Quiet, Low THD</t>
  </si>
  <si>
    <t xml:space="preserve">"Neutral System Bonded" (manual p.82)</t>
  </si>
  <si>
    <t xml:space="preserve">https://cdn.shopify.com/s/files/1/0613/1168/0689/files/XP13500iHT_manual_revised_02132026_PRINT_1_2.pdf?v=1787850984</t>
  </si>
  <si>
    <t xml:space="preserve">https://cdn.shopify.com/s/files/1/0613/1168/0689/files/XP13500iHT_removing_the_bond_instructions_WEB.pdf?v=1786148205</t>
  </si>
  <si>
    <t xml:space="preserve">Propane regulator, natural gas hose, remote control, battery tender, oil funnel, spark plug wrench, tool set, owner's manual</t>
  </si>
  <si>
    <t xml:space="preserve">https://www.duromaxpower.com/products/duromax-13500-watt-portable-tri-fuel-inverter-generator-quiet-low-thd</t>
  </si>
  <si>
    <t xml:space="preserve">https://cdn.shopify.com/s/files/1/0613/1168/0689/files/XP13500iHT_001_2.png?v=1787798761</t>
  </si>
  <si>
    <t xml:space="preserve">Sale $2,999 (compare-at $3,499). In stock. Propane runtimes on 40 lb tank. transfer_switch_ready inferred from 'Home Backup Ready' (50A outlet). eco_mode = 'Demand-Based Variable Idle'. DC output for battery banks. AVR, wet weight, parallel not listed. Warranty stated as 5 years.</t>
  </si>
  <si>
    <t xml:space="preserve">XP16000iH</t>
  </si>
  <si>
    <t xml:space="preserve">16,000 Watt Portable Dual Fuel Inverter Generator - Quiet, Low THD</t>
  </si>
  <si>
    <t xml:space="preserve">https://cdn.shopify.com/s/files/1/0613/1168/0689/files/XP16000iH_manual_revised_04132026_WEB.pdf?v=1789592676</t>
  </si>
  <si>
    <t xml:space="preserve">https://cdn.shopify.com/s/files/1/0613/1168/0689/files/XP16000iH_removing_the_bond_instructions_version_2_WEB.pdf?v=1747326258</t>
  </si>
  <si>
    <t xml:space="preserve">Push Button Electric, Remote</t>
  </si>
  <si>
    <t xml:space="preserve">38.3 x 30.8 x 34.4</t>
  </si>
  <si>
    <t xml:space="preserve">Oil funnel, spark plug wrench, tool set, remote control, battery tender, propane regulator, owner's manual</t>
  </si>
  <si>
    <t xml:space="preserve">https://www.duromaxpower.com/products/16-000-watt-v-twin-dual-fuel-portable-digital-inverter-generator</t>
  </si>
  <si>
    <t xml:space="preserve">https://cdn.shopify.com/s/files/1/0613/1168/0689/files/XP16000iH_001_c82d9502-c499-4187-a30b-efee71dfbe1b.jpg?v=1749582624</t>
  </si>
  <si>
    <t xml:space="preserve">Sale $4,999 (compare-at $5,999). In stock. URL handle says 'V-twin' but spec table lists engine only as 4-Stroke OHV 744cc. RPM listed as variable/load-dependent. Propane runtime @25% 11/16.5/27.75 hr and @50% 6/9.4/14.5 hr on 40/60/100 lb tanks (40 lb values recorded). Noise 66.9 dB @ 25% load. transfer_switch_ready inferred from 'Home Backup Ready'. Page lists 'Parallel Kits' as a separate accessory but no parallel capability in specs (left null). Idle control not listed for this model (unlike iHT). 4 GFCI outlets.</t>
  </si>
  <si>
    <t xml:space="preserve">XP16000iHT</t>
  </si>
  <si>
    <t xml:space="preserve">16,000 Watt Portable Tri Fuel Inverter Generator - Quiet, Low THD</t>
  </si>
  <si>
    <t xml:space="preserve">https://cdn.shopify.com/s/files/1/0613/1168/0689/files/XP16000iHT_manual_revised_04062026_WEB.pdf?v=1789592676</t>
  </si>
  <si>
    <t xml:space="preserve">https://cdn.shopify.com/s/files/1/0613/1168/0689/files/XP16000iHT_removing_the_bond_instructions_WEB.pdf?v=1744242012</t>
  </si>
  <si>
    <t xml:space="preserve">Oil funnel, spark plug wrench, tool set, remote control, battery tender, propane regulator, 15-foot x 3/4-inch natural gas hose, owner's manual</t>
  </si>
  <si>
    <t xml:space="preserve">https://www.duromaxpower.com/products/duromax-16-000-watt-tri-fuel-portable-inverter-generator-w-co-alert</t>
  </si>
  <si>
    <t xml:space="preserve">https://cdn.shopify.com/s/files/1/0613/1168/0689/files/XP16000iHT_001_0486e9a2-b525-4e1d-94ee-788c5508df83.png?v=1749582455</t>
  </si>
  <si>
    <t xml:space="preserve">Sale $5,299 (compare-at $6,799). In stock. RPM variable/load-dependent. Propane runtime @25% 11/16.5/27.75 hr and @50% 6/9.4/14.5 hr on 40/60/100 lb tanks (40 lb values recorded). Parallel: page says 'Can be paired with another inverter (sold separately) for even more power.' transfer_switch_ready from 'Home Backup Ready Yes' (dual 50A). eco_mode = 'Demand Based Variable Idle'. All-metal construction, cast iron sleeve. Not 50-state compliant.</t>
  </si>
  <si>
    <t xml:space="preserve">XP28000iH</t>
  </si>
  <si>
    <t xml:space="preserve">28,000 Watt Dual Fuel Portable Inverter Generator w/ CO Alert</t>
  </si>
  <si>
    <t xml:space="preserve">https://cdn.shopify.com/s/files/1/0613/1168/0689/files/XP28000iH_manual_revised_07182025_WEB_1.pdf?v=1770937923</t>
  </si>
  <si>
    <t xml:space="preserve">https://cdn.shopify.com/s/files/1/0613/1168/0689/files/XP28000iH_removing_the_bond_instructions_WEB.pdf?v=1785177004</t>
  </si>
  <si>
    <t xml:space="preserve">AGM (included)</t>
  </si>
  <si>
    <t xml:space="preserve">39.25 x 31 x 34.5</t>
  </si>
  <si>
    <t xml:space="preserve">Propane hose/regulator, oil funnel, spark plug wrench, remote control, battery tender, DC cables, tool set, owner's manual</t>
  </si>
  <si>
    <t xml:space="preserve">https://www.duromaxpower.com/products/duromax-28000-watt-dual-fuel-portable-inverter-generator-w-co-alert</t>
  </si>
  <si>
    <t xml:space="preserve">https://cdn.shopify.com/s/files/1/0613/1168/0689/files/XP28000iH_001_b58a20f3-15f9-44ab-a670-c8c14c4d7722.png?v=1771883586</t>
  </si>
  <si>
    <t xml:space="preserve">Sale $7,499 (compare-at $8,999); page shows 'Selling Fast'. 466 lbs reported as dry weight in one fetch and as wet weight in another; recorded as dry, uncertain. RPM variable/load-dependent. Propane runtime @25% 12/18/30 hr and @50% 6.67/10/16.66 hr on 40/60/100 lb tanks (40 lb values). Oil 84.5 fl oz (2.5 L). transfer_switch_ready from two 50A outlets described for interlock/transfer switch use. eco_mode = 'Demand Based Variable Idle'. DC output for 48V/52V battery banks; 2-wire start for solar inverter integration. AVR, parallel not listed.</t>
  </si>
  <si>
    <t xml:space="preserve">XP28000iHT</t>
  </si>
  <si>
    <t xml:space="preserve">28,000 Watt Tri Fuel Portable Inverter Generator w/ CO Alert</t>
  </si>
  <si>
    <t xml:space="preserve">https://cdn.shopify.com/s/files/1/0613/1168/0689/files/XP28000iHT_manual_revised_07222025_WEB.pdf?v=1770937923</t>
  </si>
  <si>
    <t xml:space="preserve">https://cdn.shopify.com/s/files/1/0613/1168/0689/files/XP28000iHT_removing_the_bond_instructions_WEB.pdf?v=1774886017</t>
  </si>
  <si>
    <t xml:space="preserve">Propane hose &amp; regulator, 15-foot natural gas hose, oil funnel, spark plug wrench, remote control, battery tender, DC output wires, tool set, owner's manual</t>
  </si>
  <si>
    <t xml:space="preserve">https://www.duromaxpower.com/products/duromax-28000-watt-tri-fuel-portable-inverter-generator-w-co-alert</t>
  </si>
  <si>
    <t xml:space="preserve">https://cdn.shopify.com/s/files/1/0613/1168/0689/files/XP28000iHT_001_fab890cc-4647-4c3a-92d4-a416477abef5.png?v=1771883392</t>
  </si>
  <si>
    <t xml:space="preserve">Sale $7,999 (compare-at $9,499); page shows 'Selling Fast'. 466 lbs reported as dry in one fetch and as wet in another; recorded as dry, uncertain. Gas 240V amps shown as 91.67 (dual fuel page shows 91.66). RPM variable. Propane runtime @25% 12/18/30 hr, @50% 6.67/10/16.66 hr on 40/60/100 lb tanks (40 lb values). transfer_switch_ready from two 50A outlets for interlock. eco_mode = 'Demand-based variable idle'. DC output 48V/52V; 2-wire start; digital volt meter and hour meter. AVR, parallel not listed.</t>
  </si>
  <si>
    <t xml:space="preserve">DuroStar</t>
  </si>
  <si>
    <t xml:space="preserve">DS10000EH</t>
  </si>
  <si>
    <t xml:space="preserve">DuroStar 10,000 Watt Dual Fuel Portable Generator</t>
  </si>
  <si>
    <t xml:space="preserve">"Neutral System: Floating" (manual p.68)</t>
  </si>
  <si>
    <t xml:space="preserve">https://cdn.shopify.com/s/files/1/0613/1168/0689/files/DS10000EH_manual_revised07202022_WEB.pdf?v=1658848035</t>
  </si>
  <si>
    <t xml:space="preserve">Key Switch (Electric/Recoil)</t>
  </si>
  <si>
    <t xml:space="preserve">Oil Funnel, Spark Plug Wrench, Tool Set, Wheel &amp; Handle Kit, DC Charging Cables, Owner's Manual</t>
  </si>
  <si>
    <t xml:space="preserve">https://www.duromaxpower.com/products/durostar-ds10000eh-10000-watt-18-hp-dual-fuel-hybrid-generator-w-electric-start</t>
  </si>
  <si>
    <t xml:space="preserve">https://cdn.shopify.com/s/files/1/0613/1168/0689/products/DS10000EH_1_f35de996-e39d-4fc3-8ab3-89f4517a375a.png?v=1749582694</t>
  </si>
  <si>
    <t xml:space="preserve">Compare-at $1,199. Page says 'Available Exclusively At: Amazon' (no stock text on site); JSON variant available=true. CO shutdown not listed (only low-oil shutdown) -&gt; false. THD not listed. 50 State Emissions. Propane hose/regulator included; 40 lb min tank.</t>
  </si>
  <si>
    <t xml:space="preserve">DS13000MX</t>
  </si>
  <si>
    <t xml:space="preserve">13,000 Watt Dual Fuel Portable Generator w/ CO Alert</t>
  </si>
  <si>
    <t xml:space="preserve">https://cdn.shopify.com/s/files/1/0613/1168/0689/files/DS13000MX_manual_rev10172025_WEB.pdf?v=1761163938</t>
  </si>
  <si>
    <t xml:space="preserve">https://cdn.shopify.com/s/files/1/0613/1168/0689/files/DS13000MX_Remove_Bond_Instructions_WEB.pdf?v=1785788297</t>
  </si>
  <si>
    <t xml:space="preserve">Push Button/Remote Control (Electric/Recoil)</t>
  </si>
  <si>
    <t xml:space="preserve">29.75 L x 27.5 W x 25.75 H</t>
  </si>
  <si>
    <t xml:space="preserve">Oil funnel, spark plug wrench, tool set, wheel &amp; handle kit, propane regulator, remote control, owner's manual</t>
  </si>
  <si>
    <t xml:space="preserve">https://www.duromaxpower.com/products/ds13000mx-13-000-watt-dual-fuel-portable-generator-w-co-alert</t>
  </si>
  <si>
    <t xml:space="preserve">https://cdn.shopify.com/s/files/1/0613/1168/0689/files/DS13000MX-Gallery-Hero_1.png?v=1765474767</t>
  </si>
  <si>
    <t xml:space="preserve">Compare-at $1,199. Not for sale to California. Noise 74 dB @ 50% load. Wet weight and THD not listed. 40 lb min propane tank. Transfer switch-ready 50A outlet.</t>
  </si>
  <si>
    <t xml:space="preserve">DS13000MXT</t>
  </si>
  <si>
    <t xml:space="preserve">13,000 Watt Tri Fuel Portable Generator w/ CO Alert</t>
  </si>
  <si>
    <t xml:space="preserve">https://cdn.shopify.com/s/files/1/0613/1168/0689/files/DS13000MXT_manual_rev11052024_WEB_81498861-c22b-437b-8725-37c4ed71a054.pdf</t>
  </si>
  <si>
    <t xml:space="preserve">30.5 L x 27.3 W x 26 H</t>
  </si>
  <si>
    <t xml:space="preserve">Remote control, wheel &amp; handle kit (full list not captured)</t>
  </si>
  <si>
    <t xml:space="preserve">https://www.duromaxpower.com/products/durostar-13-000-watt-tri-fuel-portable-generator-w-co-alert</t>
  </si>
  <si>
    <t xml:space="preserve">https://cdn.shopify.com/s/files/1/0613/1168/0689/files/DS13000MXT_001_cd0e8fda-3b80-4abb-89c0-8e7e5392f0c9.png?v=1749582393</t>
  </si>
  <si>
    <t xml:space="preserve">Site lists 'EPA Certified: No' (recorded as stated). Not for sale to California. RPM 3600 +/-100. Noise 74 dB @ 50% load. Wet weight, THD, 12V DC not listed. NG pressure given as range 6.0-9.0 in. WC (string). 40 lb min propane tank.</t>
  </si>
  <si>
    <t xml:space="preserve">DS8000iX</t>
  </si>
  <si>
    <t xml:space="preserve">8,000 Watt Dual Fuel Open Frame Digital Inverter Generator</t>
  </si>
  <si>
    <t xml:space="preserve">Open frame inverter</t>
  </si>
  <si>
    <t xml:space="preserve">"Neutral System Bonded" (manual p.75)</t>
  </si>
  <si>
    <t xml:space="preserve">https://cdn.shopify.com/s/files/1/0613/1168/0689/files/DS8000iX_manual_rev09032026_WEB.pdf?v=1788463634</t>
  </si>
  <si>
    <t xml:space="preserve">Electric/Recoil (remote)</t>
  </si>
  <si>
    <t xml:space="preserve">24 L x 23.25 W x 24.25 H</t>
  </si>
  <si>
    <t xml:space="preserve">Oil funnel, spark plug wrench, tool set, wheel &amp; handle kit, battery tender, propane regulator, remote control, owner's manual</t>
  </si>
  <si>
    <t xml:space="preserve">https://www.duromaxpower.com/products/durostar-8-000-watt-dual-fuel-open-frame-digital-inverter-generator</t>
  </si>
  <si>
    <t xml:space="preserve">https://cdn.shopify.com/s/files/1/0613/1168/0689/files/DS8000iX_001.png?v=1788305729</t>
  </si>
  <si>
    <t xml:space="preserve">Compare-at $1,599. Noise stated '&lt;70 dB' @ 25% load. 'Demand Based Variable Idle' (eco_mode=true). LP runtimes with 40 lb tank. AVR, wet weight, 12V DC, parallel, transfer-switch not listed. Not for sale to California.</t>
  </si>
  <si>
    <t xml:space="preserve">DS14000iX</t>
  </si>
  <si>
    <t xml:space="preserve">14,000 Watt Dual Fuel Open Frame Digital Inverter Generator</t>
  </si>
  <si>
    <t xml:space="preserve">"Neutral System: Bonded" (manual p.75)</t>
  </si>
  <si>
    <t xml:space="preserve">https://cdn.shopify.com/s/files/1/0613/1168/0689/files/DS14000iX_manual_rev07062026_WEB.pdf?v=1783375557</t>
  </si>
  <si>
    <t xml:space="preserve">https://cdn.shopify.com/s/files/1/0613/1168/0689/files/DS14000iX_removing_the_bond_instructions_WEB.pdf?v=1784323806</t>
  </si>
  <si>
    <t xml:space="preserve">Electric/Recoil (push button, remote)</t>
  </si>
  <si>
    <t xml:space="preserve">3%</t>
  </si>
  <si>
    <t xml:space="preserve">29.19 L x 23.43 W x 27.17 H</t>
  </si>
  <si>
    <t xml:space="preserve">Oil funnel, spark plug wrench, tool set, wheel &amp; handle kit, battery tender cord, propane regulator, DC output wires, remote control, owner's manual</t>
  </si>
  <si>
    <t xml:space="preserve">https://www.duromaxpower.com/products/durostar-14-000-watt-dual-fuel-open-frame-digital-inverter-generator</t>
  </si>
  <si>
    <t xml:space="preserve">https://cdn.shopify.com/s/files/1/0613/1168/0689/files/DS14000iX_001.png?v=1782863805</t>
  </si>
  <si>
    <t xml:space="preserve">Compare-at $2,499. Noise stated '&lt;74 dB' @ 25% load. Idle control: 'Demand Based Variable Idle' (eco_mode=true). LP runtimes with 60 lb tank. AVR, wet weight, parallel, transfer-switch not listed. 12V DC outlet not listed though 'DC output wires' included - uncertain. Not for sale to California.</t>
  </si>
  <si>
    <t xml:space="preserve">Generator Outlet (key)</t>
  </si>
  <si>
    <t xml:space="preserve">Amps</t>
  </si>
  <si>
    <t xml:space="preserve">Max Watts @240V</t>
  </si>
  <si>
    <t xml:space="preserve">Inlet Box</t>
  </si>
  <si>
    <t xml:space="preserve">Generator Cord</t>
  </si>
  <si>
    <t xml:space="preserve">Transfer Switches</t>
  </si>
  <si>
    <t xml:space="preserve">Notes</t>
  </si>
  <si>
    <t xml:space="preserve">14-50R (50A)</t>
  </si>
  <si>
    <t xml:space="preserve">XP50PB, XP50PBN, PB50, PBN50 (50A CS6375 inlet)</t>
  </si>
  <si>
    <t xml:space="preserve">XP5015GC, XP5025GC, XP5050GC, PC5020-14, PC5025-14M (14-50P to CS6364)</t>
  </si>
  <si>
    <t xml:space="preserve">50A / 10 circuit: R510A (outdoor), A510C, 510C, 510D; 50A / 6 circuit: 506C</t>
  </si>
  <si>
    <t xml:space="preserve">50A 2-pole backfeed breaker (panel brand) + GenInterlock kit for panel</t>
  </si>
  <si>
    <t xml:space="preserve">Article: above 7,200 W use a 10-circuit switch with a 50A inlet.</t>
  </si>
  <si>
    <t xml:space="preserve">L14-30R (30A)</t>
  </si>
  <si>
    <t xml:space="preserve">PB30, PBN30 (30A L14-30 inlet)</t>
  </si>
  <si>
    <t xml:space="preserve">XP3010GC, XP3025GC, XP3050GC, PC3040 (L14-30P to L14-30R)</t>
  </si>
  <si>
    <t xml:space="preserve">30A / 6 circuit: 306A, R306A (outdoor), 306C, 306D, 306CRK (kit); 30A / 10 circuit: 310C, 310D, 310CRK (kit), R310A (outdoor), 310CDKN (kit)</t>
  </si>
  <si>
    <t xml:space="preserve">30A 2-pole backfeed breaker (panel brand) + GenInterlock kit for panel</t>
  </si>
  <si>
    <t xml:space="preserve">Article: up to 7,200 W use a 6-circuit switch with a 30A inlet.</t>
  </si>
  <si>
    <t xml:space="preserve">L14-20R (20A)</t>
  </si>
  <si>
    <t xml:space="preserve">PB20, PBN20 (20A L14-20 inlet)</t>
  </si>
  <si>
    <t xml:space="preserve">L14-20 cord (PC3020K kit lists L14-20 / L14-30)</t>
  </si>
  <si>
    <t xml:space="preserve">20A / 6 circuit: 206A, R206A (outdoor)</t>
  </si>
  <si>
    <t xml:space="preserve">20A 2-pole backfeed breaker + GenInterlock kit</t>
  </si>
  <si>
    <t xml:space="preserve">No current DuroMax/DuroStar generator in the spec sheet has an L14-20R.</t>
  </si>
  <si>
    <t xml:space="preserve">None - 120V only</t>
  </si>
  <si>
    <t xml:space="preserve">PB31 / PBN31 (L5-30, 120V only) - single-leg, not whole panel</t>
  </si>
  <si>
    <t xml:space="preserve">Standard 5-15 / 5-20 extension cords (see Connection Guide gauge table)</t>
  </si>
  <si>
    <t xml:space="preserve">TF151W (15A) / TF201W (20A) single-circuit furnace switch only</t>
  </si>
  <si>
    <t xml:space="preserve">Not supported - no 240V outlet</t>
  </si>
  <si>
    <t xml:space="preserve">Cannot back-feed a split-phase panel. Extension cords or furnace switch only.</t>
  </si>
  <si>
    <t xml:space="preserve">How to read: find the generator's largest 240V outlet, then read across for the inlet box, cord and switch/interlock that match. Column A values must match the formula in Generators &gt; Best 240V Outlet.</t>
  </si>
  <si>
    <t xml:space="preserve">Sources: installation article (6-circuit/30A up to 7,200 W; 10-circuit/50A above 7,200 W) and each product's inlet/cord spec on duromaxpower.com. Blue = hardcoded inputs.</t>
  </si>
  <si>
    <t xml:space="preserve">Neutral: from each owner's manual Specifications table (Generators &gt; Neutral columns). Floating = standard 2-pole switch or interlock as-is. Bonded = remove the bond per DuroMax unbond instructions (electrician) before using a 2-pole switch or interlock, or use a neutral-switching 3-pole switch. None of the Reliance switches sold on the site states neutral switching.</t>
  </si>
  <si>
    <t xml:space="preserve">SKU</t>
  </si>
  <si>
    <t xml:space="preserve">Title</t>
  </si>
  <si>
    <t xml:space="preserve">Price</t>
  </si>
  <si>
    <t xml:space="preserve">In Stock</t>
  </si>
  <si>
    <t xml:space="preserve">Type</t>
  </si>
  <si>
    <t xml:space="preserve">Location</t>
  </si>
  <si>
    <t xml:space="preserve">Enclosure</t>
  </si>
  <si>
    <t xml:space="preserve">Circuits</t>
  </si>
  <si>
    <t xml:space="preserve">Max Watts</t>
  </si>
  <si>
    <t xml:space="preserve">Breakers Included</t>
  </si>
  <si>
    <t xml:space="preserve">240V Circuits</t>
  </si>
  <si>
    <t xml:space="preserve">Pole Config</t>
  </si>
  <si>
    <t xml:space="preserve">Inlet Required</t>
  </si>
  <si>
    <t xml:space="preserve">Inlet Incl.</t>
  </si>
  <si>
    <t xml:space="preserve">Cord Included</t>
  </si>
  <si>
    <t xml:space="preserve">Wattmeters</t>
  </si>
  <si>
    <t xml:space="preserve">Conduit (ft)</t>
  </si>
  <si>
    <t xml:space="preserve">UL</t>
  </si>
  <si>
    <t xml:space="preserve">Description</t>
  </si>
  <si>
    <t xml:space="preserve">R510A</t>
  </si>
  <si>
    <t xml:space="preserve">Reliance</t>
  </si>
  <si>
    <t xml:space="preserve">Reliance R510A 120/240V 50 Amp 10 Circuit Pro/Tran-2 Outdoor Transfer Switch</t>
  </si>
  <si>
    <t xml:space="preserve">Manual</t>
  </si>
  <si>
    <t xml:space="preserve">Outdoor</t>
  </si>
  <si>
    <t xml:space="preserve">NEMA 3R</t>
  </si>
  <si>
    <t xml:space="preserve">6x 15A 1-pole, 2x 20A 1-pole, 1x 20A 2-pole</t>
  </si>
  <si>
    <t xml:space="preserve">Non-defeatable break-before-make double-throw switch per circuit</t>
  </si>
  <si>
    <t xml:space="preserve">CS6375 50A</t>
  </si>
  <si>
    <t xml:space="preserve">Pro/Tran 2 load-side manual transfer switch in a gasketed, key-lockable NEMA 3R powder-coated steel cabinet for outdoor installation. Has a factory-installed 50A CS6375 power inlet with flip-lid, color-coded analog wattmeter, and 16-inch liquid-tight non-metallic conduit. Certified to UL 1008 and meets NEC Article 702.</t>
  </si>
  <si>
    <t xml:space="preserve">https://www.duromaxpower.com/products/reliance-r510a-120-240v-50-amp-10-circuit-pro-tran-2-outdoor-transfer-switch</t>
  </si>
  <si>
    <t xml:space="preserve">https://cdn.shopify.com/s/files/1/0613/1168/0689/files/R510A_1.jpg?v=1749582593</t>
  </si>
  <si>
    <t xml:space="preserve">Specs: rated 12,500 W, 50 A, 13x12x5 in, 18 lb. 5-year limited warranty. Task example listed CS6365; page states CS6375.</t>
  </si>
  <si>
    <t xml:space="preserve">A510C</t>
  </si>
  <si>
    <t xml:space="preserve">Reliance A510C 120/240-Volt 50-Amp 10-Circuit Pro/Tran 2 Transfer Switch</t>
  </si>
  <si>
    <t xml:space="preserve">Indoor</t>
  </si>
  <si>
    <t xml:space="preserve">6x 15A 1-pole, 1x 20A 2-pole, 1x 30A 2-pole</t>
  </si>
  <si>
    <t xml:space="preserve">Up to 10 single-pole or 5 double-pole circuits</t>
  </si>
  <si>
    <t xml:space="preserve">50A power inlet (Reliance PB50), sold separately</t>
  </si>
  <si>
    <t xml:space="preserve">Pro/Tran 2 50A load-side manual transfer switch in a powder-coated steel cabinet for indoor installation, with a hinged non-metallic cover and color-coded built-in wattage meter. Includes 18-inch flexible conduit with color-coded factory wires; requires a separately purchased 50A power inlet (PB50). Certified to UL 1008 and meets NEC Article 702.</t>
  </si>
  <si>
    <t xml:space="preserve">https://www.duromaxpower.com/products/reliance-a510c-120-240-volt-50-amp-10-circuit-pro-tran-2-transfer-switch</t>
  </si>
  <si>
    <t xml:space="preserve">https://cdn.shopify.com/s/files/1/0613/1168/0689/files/A510C_1.jpg?v=1749582601</t>
  </si>
  <si>
    <t xml:space="preserve">Spec: 'Power Inlet: None'; recommended cord 6 AWG; max combined load 100A @125V / 50A @250V; 11x11.75x4.5 in, 20 lb.</t>
  </si>
  <si>
    <t xml:space="preserve">510D</t>
  </si>
  <si>
    <t xml:space="preserve">Reliance 510D 120/240-Volt 50-Amp 10-Circuit Pro/Tran Indoor Transfer Switch</t>
  </si>
  <si>
    <t xml:space="preserve">Up to 10 single-pole or 5 double-pole circuits; non-defeatable break-before-make double-throw toggles</t>
  </si>
  <si>
    <t xml:space="preserve">Prewired Pro/Tran indoor manual transfer switch with non-defeatable double-throw Utility/Generator toggles and 1-inch interchangeable breakers (AFCI/GFCI compatible). Field-reconfigurable for up to two 30A and eight 20A single-pole or five double-pole circuits. UL 1008 listed; no wattmeters.</t>
  </si>
  <si>
    <t xml:space="preserve">https://www.duromaxpower.com/products/reliance-510d-120-240-volt-50-amp-10-circuit-pro-tran-indoor-transfer-switch</t>
  </si>
  <si>
    <t xml:space="preserve">https://cdn.shopify.com/s/files/1/0613/1168/0689/files/510D__1.jpg?v=1749582601</t>
  </si>
  <si>
    <t xml:space="preserve">Spec 'Power Inlet: None' (inlet type not stated). Recommended cord 6 AWG. Spec lists max combined load at 250 Vac as 250 (likely typo). 11.25x11.75x4.5 in, 20 lb.</t>
  </si>
  <si>
    <t xml:space="preserve">510C</t>
  </si>
  <si>
    <t xml:space="preserve">Reliance 510C 120/240-Volt 50-Amp 10-Circuit Pro/Tran 2 Indoor Transfer Switch</t>
  </si>
  <si>
    <t xml:space="preserve">6x 15A 1-pole, 1x 20A 1-pole, 1x 20A 2-pole (as stated)</t>
  </si>
  <si>
    <t xml:space="preserve">Pro/Tran 2 indoor surface-mount load-side manual transfer switch with a powder-coated steel cabinet, 1-inch interchangeable breakers (AFCI/GFCI capable, max 1x 30A double-pole) and hinged detachable cover. Supports up to 12,500 running watts with built-in wattmeters.</t>
  </si>
  <si>
    <t xml:space="preserve">https://www.duromaxpower.com/products/reliance-510c-120-240-volt-50-amp-10-circuit-pro-tran-2-indoor-transfer-switch</t>
  </si>
  <si>
    <t xml:space="preserve">https://cdn.shopify.com/s/files/1/0613/1168/0689/products/510C_1.jpg?v=1749582623</t>
  </si>
  <si>
    <t xml:space="preserve">Breaker list as stated accounts for only 9 of 10 poles (possibly missing a 20A 1-pole). Conduit: description says 16 in, spec says 18 in (spec used). UL not mentioned on page. 'Power Inlet: None'; 6 AWG cord; 17 lb.</t>
  </si>
  <si>
    <t xml:space="preserve">506C</t>
  </si>
  <si>
    <t xml:space="preserve">Reliance 506C 120/240-Volt 50-Amp 6-Circuit Pro/Tran Indoor Transfer Switch</t>
  </si>
  <si>
    <t xml:space="preserve">2x 15A 1-pole, 2x 20A 1-pole, 1x 20A 2-pole (spec table)</t>
  </si>
  <si>
    <t xml:space="preserve">Up to 6 single-pole or 3 double-pole circuits; non-defeatable break-before-make double-throw toggles</t>
  </si>
  <si>
    <t xml:space="preserve">Prewired Pro/Tran 50A 6-circuit indoor manual transfer switch with color-coded wattmeters, non-defeatable double-throw toggles and 1-inch interchangeable breakers. Compatible with Siemens, Square D, Eaton/C-H, GE and Murray breakers. UL 1008 listed, NEC Article 702 compliant.</t>
  </si>
  <si>
    <t xml:space="preserve">https://www.duromaxpower.com/products/reliance-506c-120-240-volt-50-amp-6-circuit-pro-tran-indoor-transfer-switch</t>
  </si>
  <si>
    <t xml:space="preserve">https://cdn.shopify.com/s/files/1/0613/1168/0689/files/506C__1.jpg?v=1749582602</t>
  </si>
  <si>
    <t xml:space="preserve">Conflict: features say 1x 20A 2-pole + 4x 15A 1-pole; spec table says 2x15A, 2x20A 1-pole, 1x20A 2-pole. Conduit 3/4 in; 6 AWG cord; 11.25x7.75x4.5 in, 17 lb.</t>
  </si>
  <si>
    <t xml:space="preserve">306D</t>
  </si>
  <si>
    <t xml:space="preserve">Reliance 306D 120/240-Volt 30-Amp 6-Circuit Pro/Tran Indoor Transfer Switch</t>
  </si>
  <si>
    <t xml:space="preserve">3x 15A 1-pole, 2x 20A 1-pole, 1x 20A 2-pole (spec table)</t>
  </si>
  <si>
    <t xml:space="preserve">Prewired Pro/Tran 30A 6-circuit indoor manual transfer switch with non-defeatable double-throw Utility/Generator toggles and 1-inch interchangeable breakers (AFCI/GFCI compatible). Field-reconfigurable for up to four 20A and two 30A single-pole circuits. UL 1008 listed; no wattmeters.</t>
  </si>
  <si>
    <t xml:space="preserve">https://www.duromaxpower.com/products/reliance-306d-120-240-volt-30-amp-6-circuit-pro-tran-indoor-transfer-switch</t>
  </si>
  <si>
    <t xml:space="preserve">https://cdn.shopify.com/s/files/1/0613/1168/0689/files/306D__1.jpg?v=1749582605</t>
  </si>
  <si>
    <t xml:space="preserve">Conflict: features say 2x 15A single-pole; spec says 3. 'Power Inlet: None'; 10 AWG cord; 11.25x7.75x4.5 in, 17 lb.</t>
  </si>
  <si>
    <t xml:space="preserve">306A</t>
  </si>
  <si>
    <t xml:space="preserve">Reliance 306A 120-240-Volt 30-Amp 6-Circuit Pro/Tran Indoor transfer Switch</t>
  </si>
  <si>
    <t xml:space="preserve">4x 15A 1-pole, 1x 20A 2-pole</t>
  </si>
  <si>
    <t xml:space="preserve">Up to 6 single-pole or 3 double-pole circuits</t>
  </si>
  <si>
    <t xml:space="preserve">L14-30</t>
  </si>
  <si>
    <t xml:space="preserve">Pro/Tran 2 30A 6-circuit indoor manual transfer switch with color-coded built-in wattage meter and hinged non-metallic cover. Allows hardwiring or plug-in connection via an included L14-30 power inlet. Certified to UL 1008 and meets NEC Article 702.</t>
  </si>
  <si>
    <t xml:space="preserve">https://www.duromaxpower.com/products/reliance-306a-120-240-volt-30-amp-6-circuit-pro-tran-indoor-transfer-switch</t>
  </si>
  <si>
    <t xml:space="preserve">https://cdn.shopify.com/s/files/1/0613/1168/0689/files/306A_1_f4b406a3-e962-4025-a98c-9d2ea1dc9345.jpg?v=1749582607</t>
  </si>
  <si>
    <t xml:space="preserve">Conduit: features say 18 in, spec says 16 in (spec used). 10 AWG cord; 11.25x7.75x4.5 in.</t>
  </si>
  <si>
    <t xml:space="preserve">310CRK</t>
  </si>
  <si>
    <t xml:space="preserve">Reliance 310CRK 120/240-Volt 30-Amp 10-Circuit Pro/Tran 2 Transfer Switches</t>
  </si>
  <si>
    <t xml:space="preserve">6x 15A 1-pole, 2x 20A 1-pole, 1x 20A 2-pole (spec table)</t>
  </si>
  <si>
    <t xml:space="preserve">10 ft 30A power cord</t>
  </si>
  <si>
    <t xml:space="preserve">Kit with a prewired 10-circuit indoor Pro/Tran 2 transfer switch, a 10 ft 30A power cord and an outdoor painted-steel 30A (L14-30) power inlet box. Uses 1-inch breakers that accept GFCI/AFCI and can power one 30A double-pole circuit with a breaker change.</t>
  </si>
  <si>
    <t xml:space="preserve">https://www.duromaxpower.com/products/reliance-310crk-120-240-volt-30-amp-10-circuit-pro-tran-2-transfer-switches</t>
  </si>
  <si>
    <t xml:space="preserve">https://cdn.shopify.com/s/files/1/0613/1168/0689/files/310CRK_1.jpg?v=1749582603</t>
  </si>
  <si>
    <t xml:space="preserve">Conflict: features say 2x 20A double-pole + 6x 15A single-pole; spec table lists 6x15A/120V, 2x20A/120V, 1x20A/240V. UL not mentioned. Spec dimension '11 x 1.75 x 4.5' is a typo. 25 lb.</t>
  </si>
  <si>
    <t xml:space="preserve">R306A</t>
  </si>
  <si>
    <t xml:space="preserve">Reliance R306A 120/240-Volt 30-Amp 6-Circuit Pro/Tran Outdoor Transfer Switch</t>
  </si>
  <si>
    <t xml:space="preserve">Up to 6 single-pole or 3 double-pole circuits; non-defeatable break-before-make double-throw switch</t>
  </si>
  <si>
    <t xml:space="preserve">Pro/Tran 2 30A 6-circuit outdoor manual transfer switch in a gasketed, key-lockable NEMA 3R powder-coated steel cabinet. Factory-installed L14-30 power inlet with flip-lid, color-coded wattmeters, and 16-inch liquid-tight conduit. Certified to UL 1008 and meets NEC Article 702.</t>
  </si>
  <si>
    <t xml:space="preserve">https://www.duromaxpower.com/products/reliance-r306a-120-240-volt-30-amp-6-circuit-pro-tran-outdoor-transfer-switch</t>
  </si>
  <si>
    <t xml:space="preserve">https://cdn.shopify.com/s/files/1/0613/1168/0689/files/R306A_1.jpg?v=1749582599</t>
  </si>
  <si>
    <t xml:space="preserve">Currently unavailable (sold out). Conduit length from features (spec omits). 13x8x5 in, 18 lb.</t>
  </si>
  <si>
    <t xml:space="preserve">306CRK</t>
  </si>
  <si>
    <t xml:space="preserve">Reliance 306CRK Pro/Tran-2 Indoor 6 Circuit Transfer Switch Kit W/ Meters</t>
  </si>
  <si>
    <t xml:space="preserve">Up to 6 single-pole or 3 double-pole circuits (e.g. one 2-pole + 4 single-pole)</t>
  </si>
  <si>
    <t xml:space="preserve">PC3010 10 ft 10 AWG L14-30 power cord</t>
  </si>
  <si>
    <t xml:space="preserve">Kit with a 306C six-circuit prewired Pro/Tran 2 transfer switch, a PC3010 10 ft L14-30 power cord and a PB30 outdoor painted-steel L14-30 power inlet box. Installs adjacent to the existing load center and supports generators up to 7,500 W with wattmeters.</t>
  </si>
  <si>
    <t xml:space="preserve">https://www.duromaxpower.com/products/reliance-306crk-pro-tran-2-indoor-6-circuit-transfer-switch-kit-w-meters</t>
  </si>
  <si>
    <t xml:space="preserve">https://cdn.shopify.com/s/files/1/0613/1168/0689/files/306CRK_1_24ca2a2e-3a56-4bba-9c42-fc022c191a32.jpg?v=1749582605</t>
  </si>
  <si>
    <t xml:space="preserve">Amp rating not stated explicitly (L14-30 / 30A inlet components; switch is 306C). Included breakers not listed. UL not mentioned. Max rating per circuit 2x30A, 4x20A.</t>
  </si>
  <si>
    <t xml:space="preserve">R310A</t>
  </si>
  <si>
    <t xml:space="preserve">Reliance R310A 120/240-Volt 30-Amp 10-Circuit Pro/Tran Outdoor Transfer Switch</t>
  </si>
  <si>
    <t xml:space="preserve">8x 15A 1-pole, 1x 20A 2-pole</t>
  </si>
  <si>
    <t xml:space="preserve">Up to 10 single-pole or 5 double-pole circuits; non-defeatable break-before-make double-throw switch</t>
  </si>
  <si>
    <t xml:space="preserve">Pro/Tran 2 30A 10-circuit outdoor manual transfer switch in a gasketed, key-lockable NEMA 3R powder-coated steel cabinet. Factory-installed 30A L14-30 power inlet with flip-lid, color-coded analog wattmeters, and 16-inch liquid-tight conduit. Certified to UL 1008 and meets NEC Article 702.</t>
  </si>
  <si>
    <t xml:space="preserve">https://www.duromaxpower.com/products/reliance-r310a-120-240-volt-30-amp-10-circuit-pro-tran-outdoor-transfer-switch</t>
  </si>
  <si>
    <t xml:space="preserve">https://cdn.shopify.com/s/files/1/0613/1168/0689/files/R310A_1.jpg?v=1749582609</t>
  </si>
  <si>
    <t xml:space="preserve">Conduit length from features. 13x12x5 in, 25 lb.</t>
  </si>
  <si>
    <t xml:space="preserve">TF201W</t>
  </si>
  <si>
    <t xml:space="preserve">Reliance TF201W 20A Easy/Tran Furnace Transfer Switch - Gray</t>
  </si>
  <si>
    <t xml:space="preserve">1x 20A 1-pole</t>
  </si>
  <si>
    <t xml:space="preserve">Single circuit (1 single-pole, 0 double-pole)</t>
  </si>
  <si>
    <t xml:space="preserve">NEMA 5-20</t>
  </si>
  <si>
    <t xml:space="preserve">Easy/Tran single-circuit transfer switch designed to control one load such as a forced-air furnace during a power failure. Pre-wired 18-inch flexible aluminum conduit connects at the breaker panel, furnace or in between; powered from a generator, inverter or other source via a standard grounded extension cord.</t>
  </si>
  <si>
    <t xml:space="preserve">https://www.duromaxpower.com/products/reliance-tf201w-20a-easy-tran-furnace-transfer-switch-gray</t>
  </si>
  <si>
    <t xml:space="preserve">https://cdn.shopify.com/s/files/1/0613/1168/0689/files/TF201W_1.jpg?v=1749582575</t>
  </si>
  <si>
    <t xml:space="preserve">Voltage not stated (120V circuit implied by 125 Vac rating). inlet_included inferred from spec 'Power inlet, NEMA 5-20'. Uses standard extension cord (not included). UL not mentioned; 30-day guarantee only listed.</t>
  </si>
  <si>
    <t xml:space="preserve">TF151W</t>
  </si>
  <si>
    <t xml:space="preserve">Reliance TF151W 15A Easy/Tran Furnace Transfer Switch - Gray</t>
  </si>
  <si>
    <t xml:space="preserve">1x 15A 1-pole</t>
  </si>
  <si>
    <t xml:space="preserve">NEMA 5-15</t>
  </si>
  <si>
    <t xml:space="preserve">https://www.duromaxpower.com/products/reliance-tf151w-15a-easy-tran-furnace-transfer-switch-gray</t>
  </si>
  <si>
    <t xml:space="preserve">https://cdn.shopify.com/s/files/1/0613/1168/0689/files/TF151W_1.jpg?v=1749582575</t>
  </si>
  <si>
    <t xml:space="preserve">Voltage not stated (120V circuit implied by 125 Vac rating). inlet_included inferred from spec 'Power inlet, NEMA 5-15'. Recommended cord 14 AWG. UL not mentioned.</t>
  </si>
  <si>
    <t xml:space="preserve">310CDKN</t>
  </si>
  <si>
    <t xml:space="preserve">Reliance 310CDKN 30 Amp 10 Circuit Manual Transfer Switch Kit</t>
  </si>
  <si>
    <t xml:space="preserve">PBN30 30A power inlet box (remote)</t>
  </si>
  <si>
    <t xml:space="preserve">20 ft 30A power cord</t>
  </si>
  <si>
    <t xml:space="preserve">Kit with a 10-circuit pre-wired indoor manual transfer switch, a 20 ft 30A power cord and a PBN30 30A power inlet box. Runs up to 10 single-pole or 5 double-pole circuits on generators up to 7,500 running watts, with analog wattmeters.</t>
  </si>
  <si>
    <t xml:space="preserve">https://www.duromaxpower.com/products/reliance-310cdkn-30-amp-10-circuit-manual-transfer-switch-kit</t>
  </si>
  <si>
    <t xml:space="preserve">https://cdn.shopify.com/s/files/1/0613/1168/0689/files/310CDKN_1.jpg?v=1749582597</t>
  </si>
  <si>
    <t xml:space="preserve">Voltage, breaker complement, conduit length, UL status not stated. Inlet NEMA configuration not stated (spec: 'Remote'). 14x7x5 in, 19 lb.</t>
  </si>
  <si>
    <t xml:space="preserve">310C</t>
  </si>
  <si>
    <t xml:space="preserve">Reliance 310C 120/240-Volt 30-Amp 10-Circuit Pro/Tran 2 Transfer Switches</t>
  </si>
  <si>
    <t xml:space="preserve">Up to 10 single-pole or 5 double-pole circuits; max rating per circuit 2x30A, 8x20A</t>
  </si>
  <si>
    <t xml:space="preserve">Pro/Tran 2 indoor surface-mount load-side manual transfer switch with powder-coated steel cabinet, 1-inch interchangeable breakers (AFCI/GFCI capable, max 1x 30A double-pole) and hinged detachable cover. Supports up to 7,500 running watts with wattmeters.</t>
  </si>
  <si>
    <t xml:space="preserve">https://www.duromaxpower.com/products/reliance-310c-120-240-volt-30-amp-10-circuit-pro-tran-2-transfer-switches</t>
  </si>
  <si>
    <t xml:space="preserve">https://cdn.shopify.com/s/files/1/0613/1168/0689/files/310C_1.jpg?v=1749582604</t>
  </si>
  <si>
    <t xml:space="preserve">Included breakers not listed. Conduit: description 16 in, spec 18 in (spec used). Spec 'Cabinet Type: Yes' (indoor per description). 'Power Inlet: None'; 10 AWG cord. UL not mentioned.</t>
  </si>
  <si>
    <t xml:space="preserve">310D</t>
  </si>
  <si>
    <t xml:space="preserve">Reliance 310D 120/240-Volt 30-Amp 10-Circuit Pro/Tran Indoor Transfer Switch</t>
  </si>
  <si>
    <t xml:space="preserve">NEMA 1R (as stated)</t>
  </si>
  <si>
    <t xml:space="preserve">6x 15A 1-pole, 2x 20A 2-pole (spec table)</t>
  </si>
  <si>
    <t xml:space="preserve">Pro/Tran 2 30A 10-circuit indoor manual transfer switch with color-coded built-in wattage meter and hinged non-metallic cover. Allows hardwiring or plug-in connection via a power inlet; 18-inch flexible conduit with color-coded wires. UL 1008 compliant and meets NEC Article 702.</t>
  </si>
  <si>
    <t xml:space="preserve">https://www.duromaxpower.com/products/reliance-310d-120-240-volt-30-amp-10-circuit-pro-tran-indoor-transfer-switch</t>
  </si>
  <si>
    <t xml:space="preserve">https://cdn.shopify.com/s/files/1/0613/1168/0689/files/310D_1.jpg?v=1749582608</t>
  </si>
  <si>
    <t xml:space="preserve">Spec 'Rated Amps 60/30', 'Max Generator Input 30 Amps'. Enclosure listed as 'NEMA 1R' (unusual; possibly NEMA 1). Inlet type/inclusion not stated. 13 lb.</t>
  </si>
  <si>
    <t xml:space="preserve">306C</t>
  </si>
  <si>
    <t xml:space="preserve">Reliance 306C 120/240-Volt 30-Amp 6-Circuit Pro/Tran Indoor Transfer Switch</t>
  </si>
  <si>
    <t xml:space="preserve">Up to 6 single-pole or 3 double-pole circuits; max rating per circuit 2x30A, 4x20A</t>
  </si>
  <si>
    <t xml:space="preserve">Pro/Tran 2 indoor surface-mount manual transfer switch with powder-coated steel cabinet, 1-inch interchangeable breakers (AFCI/GFCI capable, max 1x 30A double-pole) and hinged detachable cover. Supports up to 7,500 running watts with wattmeters and a 16-inch conduit whip.</t>
  </si>
  <si>
    <t xml:space="preserve">https://www.duromaxpower.com/products/reliance-306c-120-240-volt-30-amp-6-circuit-pro-tran-indoor-transfer-switch</t>
  </si>
  <si>
    <t xml:space="preserve">https://cdn.shopify.com/s/files/1/0613/1168/0689/files/306C_1.jpg?v=1749582606</t>
  </si>
  <si>
    <t xml:space="preserve">Included breakers not listed. 'Power Inlet: None'; 3/4 in conduit; 10 AWG cord; 11.25x7.75x4.5 in. UL not mentioned.</t>
  </si>
  <si>
    <t xml:space="preserve">206A</t>
  </si>
  <si>
    <t xml:space="preserve">Reliance 206A 120/240-Volt 20-Amp 6-Circuit Pro/Tran Indoor Transfer Switch</t>
  </si>
  <si>
    <t xml:space="preserve">Pro/Tran 2 20A 6-circuit indoor manual transfer switch with color-coded built-in wattage meter and hinged non-metallic cover. Allows hardwiring or plug-in connection via an included power inlet; 18-inch flexible conduit. Certified to UL 1008 and meets NEC Article 702.</t>
  </si>
  <si>
    <t xml:space="preserve">https://www.duromaxpower.com/products/reliance-206a-120-240-volt-20-amp-6-circuit-pro-tran-indoor-transfer-switch</t>
  </si>
  <si>
    <t xml:space="preserve">https://cdn.shopify.com/s/files/1/0613/1168/0689/files/206A_1_f2c4f8ec-3b14-4f7a-a48e-1de98757d82e.jpg?v=1749582607</t>
  </si>
  <si>
    <t xml:space="preserve">Features say power inlet included but its NEMA type is not stated (likely L14-20, unconfirmed). 9 lb.</t>
  </si>
  <si>
    <t xml:space="preserve">R206A</t>
  </si>
  <si>
    <t xml:space="preserve">Reliance R206A 120/240-Volt 20-Amp 6-Circuit Pro/Tran Outdoor Transfer Switch</t>
  </si>
  <si>
    <t xml:space="preserve">Non-defeatable break-before-make double-throw switch</t>
  </si>
  <si>
    <t xml:space="preserve">L14-20</t>
  </si>
  <si>
    <t xml:space="preserve">Pro/Tran 2 20A 6-circuit outdoor manual transfer switch in a gasketed, key-lockable NEMA 3R powder-coated steel cabinet. Factory-installed L14-20 power inlet with flip-lid, color-coded wattage meter, and 16-inch liquid-tight conduit. Certified to UL 1008 and meets NEC Article 702.</t>
  </si>
  <si>
    <t xml:space="preserve">https://www.duromaxpower.com/products/reliance-r206a-120-240-volt-20-amp-6-circuit-pro-tran-outdoor-transfer-switch</t>
  </si>
  <si>
    <t xml:space="preserve">https://cdn.shopify.com/s/files/1/0613/1168/0689/files/R206A_1.jpg?v=1749582600</t>
  </si>
  <si>
    <t xml:space="preserve">13x8x5 in, 18 lb.</t>
  </si>
  <si>
    <t xml:space="preserve">Panel Brand(s)</t>
  </si>
  <si>
    <t xml:space="preserve">Compatible Panels</t>
  </si>
  <si>
    <t xml:space="preserve">Main Breaker</t>
  </si>
  <si>
    <t xml:space="preserve">Main Breaker Throw</t>
  </si>
  <si>
    <t xml:space="preserve">Backfeed Breaker Position</t>
  </si>
  <si>
    <t xml:space="preserve">Panel Notes</t>
  </si>
  <si>
    <t xml:space="preserve">Includes</t>
  </si>
  <si>
    <t xml:space="preserve">GLK-SD-200A</t>
  </si>
  <si>
    <t xml:space="preserve">GenInterlock SD-200A Generator Interlock Kit Breaker Panel 150/200 Amp Panels Square D QO and Homeline</t>
  </si>
  <si>
    <t xml:space="preserve">Square D</t>
  </si>
  <si>
    <t xml:space="preserve">Square D QO and Homeline 150 and 200 amp panels</t>
  </si>
  <si>
    <t xml:space="preserve">150/200A</t>
  </si>
  <si>
    <t xml:space="preserve">Horizontal throw, left (off) to right (on); single handle</t>
  </si>
  <si>
    <t xml:space="preserve">Generator (backfeed) breaker position: Top right side 2 positions. Breaker not listed in box contents.</t>
  </si>
  <si>
    <t xml:space="preserve">Spacing between bottom of main and first breaker on the right is 1 3/8 in. Fits indoor and outdoor panels with this spacing.</t>
  </si>
  <si>
    <t xml:space="preserve">Square D QO and Homeline 150 and 200 Amp Panels interlock kit; Owner's Manual</t>
  </si>
  <si>
    <t xml:space="preserve">Interlock kit for Square D QO and Homeline 150/200 amp panels with a single-handle horizontal-throw main breaker. Requires 1 3/8 in spacing between the bottom of the main and the first right-side breaker; fits indoor and outdoor panels. Generator breaker mounts top right (2 positions).</t>
  </si>
  <si>
    <t xml:space="preserve">https://www.duromaxpower.com/products/geninterlock-sd-200a-generator-interlock-kit-breaker-panel-150-200-amp-panels-square-d-qo-and-homeline</t>
  </si>
  <si>
    <t xml:space="preserve">https://cdn.shopify.com/s/files/1/0613/1168/0689/files/GLK-SD-200A_1_1800x1800-2.png?v=1749582592</t>
  </si>
  <si>
    <t xml:space="preserve">Warranty: 2 Year Limited Factory Warranty; 30 Day Satisfaction Guaranteed. Weight: 1 lbs.</t>
  </si>
  <si>
    <t xml:space="preserve">GLK-EAT-PN200</t>
  </si>
  <si>
    <t xml:space="preserve">GenInterlock EAT-PN200 Generator Interlock Kit Breaker Panel 150/200 Amp Panels Cutler Hammer BR Series</t>
  </si>
  <si>
    <t xml:space="preserve">Cutler-Hammer / Eaton</t>
  </si>
  <si>
    <t xml:space="preserve">Cutler Hammer BR Series, BR series with Plug in Neutral and CH series with Plug in Neutral 150 &amp; 200 Amp</t>
  </si>
  <si>
    <t xml:space="preserve">Horizontal throw, left (on) to right (off); single handle</t>
  </si>
  <si>
    <t xml:space="preserve">1-1/4 in - 1-1/2 in spacing between main breaker and branch breakers (features list states 1-1/4 in gap).</t>
  </si>
  <si>
    <t xml:space="preserve">150 / 200 Amp Panels Cutler Hammer BR Series interlock kit; Owner's Manual</t>
  </si>
  <si>
    <t xml:space="preserve">Cutler-Hammer/Eaton interlock clip for 150/200 amp BR panels, including BR and CH series with plug-in neutral. Main breaker is single-handle horizontal throw with 1-1/4 to 1-1/2 in spacing to branch breakers. Generator breaker mounts top right (2 positions).</t>
  </si>
  <si>
    <t xml:space="preserve">https://www.duromaxpower.com/products/geninterlock-eat-pn200-generator-interlock-kit-breaker-panel-150-200-amp-panels-cutler-hammer-br-series</t>
  </si>
  <si>
    <t xml:space="preserve">https://cdn.shopify.com/s/files/1/0613/1168/0689/files/GLK-EAT-PN200_1_cc17d7e6-16ed-4bf6-8b4f-0929adbdfe77_1800x1800-2.png?v=1749582591</t>
  </si>
  <si>
    <t xml:space="preserve">GLK-GE-200VL</t>
  </si>
  <si>
    <t xml:space="preserve">GenInterlock GE-200VL Generator Interlock Kit Breaker Panel 150/200 Amp Panels General Electric Vertical</t>
  </si>
  <si>
    <t xml:space="preserve">General Electric (GE)</t>
  </si>
  <si>
    <t xml:space="preserve">150 / 200 Amp Panels General Electric GE w/ Vertical Throw</t>
  </si>
  <si>
    <t xml:space="preserve">150/200A (spec table Main Breaker row says 200 amp)</t>
  </si>
  <si>
    <t xml:space="preserve">Vertical throw, down (off), up (on); single handle</t>
  </si>
  <si>
    <t xml:space="preserve">Generator (backfeed) breaker position: Top left side 2 positions. Breaker not listed in box contents.</t>
  </si>
  <si>
    <t xml:space="preserve">2-1/2 to 3-1/2 in spacing between Main and first breaker.</t>
  </si>
  <si>
    <t xml:space="preserve">150 / 200 Amp Panels General Electric GE w/ Vertical Throw interlock kit; Owner's Manual</t>
  </si>
  <si>
    <t xml:space="preserve">Interlock kit for GE 150/200 amp panels with a single-handle vertical-throw main breaker. Requires 2-1/2 to 3-1/2 in spacing between main and first usable breaker; generator breaker top left (2 positions). Replaces the GE-200VA and GE-200XL.</t>
  </si>
  <si>
    <t xml:space="preserve">https://www.duromaxpower.com/products/geninterlock-ge-200vl-generator-interlock-kit-breaker-panel-150-200-amp-panels-general-electric-vertical</t>
  </si>
  <si>
    <t xml:space="preserve">https://cdn.shopify.com/s/files/1/0613/1168/0689/files/GLK-GE-200VL_1_1800x1800-2.png?v=1749582587</t>
  </si>
  <si>
    <t xml:space="preserve">Replaces models GE-200VA and GE-200XL. Warranty: 2 Year Limited Factory Warranty; 30 Day Satisfaction Guaranteed. Weight: 1 lbs.</t>
  </si>
  <si>
    <t xml:space="preserve">GLK-ITE-200A</t>
  </si>
  <si>
    <t xml:space="preserve">GenInterlock ITE-200A Generator Interlock Kit Breaker Panel 150/200 Amp Panels Siemens and ITE</t>
  </si>
  <si>
    <t xml:space="preserve">Gould, ITE, Siemens</t>
  </si>
  <si>
    <t xml:space="preserve">Gould, ITE, or Siemens 150-200 Amp panels</t>
  </si>
  <si>
    <t xml:space="preserve">Vertical throw, up (on) down (off); single handle</t>
  </si>
  <si>
    <t xml:space="preserve">Spacing between the main and first breaker is 1 1/4 in. If 2 1/4 in spacing is required, use Model #SIE-V2.</t>
  </si>
  <si>
    <t xml:space="preserve">150 / 200 Amp Panels Siemens and ITE interlock kit; Owner's Manual</t>
  </si>
  <si>
    <t xml:space="preserve">Interlock kit for Gould, ITE and Siemens 150-200 amp panels with a single-handle vertical-throw main breaker. Requires 1 1/4 in spacing between main and first breaker; generator breaker top left (2 positions).</t>
  </si>
  <si>
    <t xml:space="preserve">https://www.duromaxpower.com/products/geninterlock-ite-200a-generator-interlock-kit-breaker-panel-150-200-amp-panels-siemens-and-ite</t>
  </si>
  <si>
    <t xml:space="preserve">https://cdn.shopify.com/s/files/1/0613/1168/0689/files/GLK-ITE-200A_1_1800x1800-2.png?v=1749582590</t>
  </si>
  <si>
    <t xml:space="preserve">Page refers to Model SIE-V2 for 2 1/4 in spacing; SIE-V2 is not listed in the duromaxpower.com collection. Warranty: 2 Year Limited Factory Warranty; 30 Day Satisfaction Guaranteed. Weight: 1 lbs.</t>
  </si>
  <si>
    <t xml:space="preserve">GLK-SD-200VL</t>
  </si>
  <si>
    <t xml:space="preserve">GenInterlock SD-200VL Generator Interlock Kit Breaker Panel 150/200 Amp 3-1/4 -4" Square D Vertical Throw</t>
  </si>
  <si>
    <t xml:space="preserve">150 / 200 Amp Square D Vertical Throw panels (3-1/4 to 4 in spacing); specific series not stated</t>
  </si>
  <si>
    <t xml:space="preserve">150/200A (features list says 200 amp)</t>
  </si>
  <si>
    <t xml:space="preserve">Spacing from bottom of main to first breaker 3-1/4 to 4 in.</t>
  </si>
  <si>
    <t xml:space="preserve">150 / 200 Amp 3-1/4 - 4" Square D Vertical Throw interlock kit; Owner's Manual</t>
  </si>
  <si>
    <t xml:space="preserve">Interlock kit for Square D 150/200 amp panels with a single-handle vertical-throw main breaker. Requires 3-1/4 to 4 in from bottom of main to first breaker; generator breaker top right (2 positions).</t>
  </si>
  <si>
    <t xml:space="preserve">https://www.duromaxpower.com/products/geninterlock-sd-200vl-generator-interlock-kit-breaker-panel-150-200-amp-3-1-4-4-square-d-vertical-throw</t>
  </si>
  <si>
    <t xml:space="preserve">https://cdn.shopify.com/s/files/1/0613/1168/0689/files/GLK-SD-200VL_1_1800x1800-2.png?v=1749582585</t>
  </si>
  <si>
    <t xml:space="preserve">GLK-SIE-P2</t>
  </si>
  <si>
    <t xml:space="preserve">GenInterlock SIE-P2 Generator Interlock Kit Breaker Panel 150/200 Amp Panels Siemens and Murray</t>
  </si>
  <si>
    <t xml:space="preserve">Siemens, Murray</t>
  </si>
  <si>
    <t xml:space="preserve">150 / 200 Amp Panels Siemens and Murray; Plug on Neutral and Non Plug on Neutral</t>
  </si>
  <si>
    <t xml:space="preserve">Horizontal throw, Right (on) Left (off); single handle</t>
  </si>
  <si>
    <t xml:space="preserve">Fits both 7/8 and 1-1/4 in spacing panels (7/8 to 1-1/4 spacing); Plug on Neutral and Non Plug on Neutral.</t>
  </si>
  <si>
    <t xml:space="preserve">150 / 200 Amp Panels Siemens and Murray interlock kit; Owner's Manual</t>
  </si>
  <si>
    <t xml:space="preserve">Interlock kit for Siemens and Murray 150/200 amp panels with a single-handle horizontal-throw main, plug-on-neutral or not. Fits 7/8 to 1-1/4 in spacing; generator breaker top right (2 positions). Replaces the MUR-200A.</t>
  </si>
  <si>
    <t xml:space="preserve">https://www.duromaxpower.com/products/geninterlock-sie-p2-generator-interlock-kit-breaker-panel-150-200-amp-panels-siemens-and-murray</t>
  </si>
  <si>
    <t xml:space="preserve">https://cdn.shopify.com/s/files/1/0613/1168/0689/files/GLK-SIE-P2_1_1800x1800-2.png?v=1749582589</t>
  </si>
  <si>
    <t xml:space="preserve">Replaces model MUR-200A. Warranty: 2 Year Limited Factory Warranty; 30 Day Satisfaction Guaranteed. Weight: 1 lbs.</t>
  </si>
  <si>
    <t xml:space="preserve">GLK-GE-100A</t>
  </si>
  <si>
    <t xml:space="preserve">GenInterlock GE-100A Generator Interlock Kit Breaker Panel 100 Amp Panels General Electric GE</t>
  </si>
  <si>
    <t xml:space="preserve">100 Amp Panels General Electric GE</t>
  </si>
  <si>
    <t xml:space="preserve">100A</t>
  </si>
  <si>
    <t xml:space="preserve">Horizontal throw, right (on) left (off); single handle</t>
  </si>
  <si>
    <t xml:space="preserve">1-3/8 in spacing between main and first row of breakers.</t>
  </si>
  <si>
    <t xml:space="preserve">100 Amp Panels General Electric GE interlock kit; Owner's Manual</t>
  </si>
  <si>
    <t xml:space="preserve">Interlock kit for GE 100 amp panels with a single-handle horizontal-throw main breaker. Requires 1-3/8 in spacing between main and first row of breakers; generator breaker top right (2 positions).</t>
  </si>
  <si>
    <t xml:space="preserve">https://www.duromaxpower.com/products/geninterlock-ge-100a-generator-interlock-kit-breaker-panel-100-amp-panels-general-electric-ge</t>
  </si>
  <si>
    <t xml:space="preserve">https://cdn.shopify.com/s/files/1/0613/1168/0689/files/GLK-GE-100A_1_1800x1800-2.png?v=1749582582</t>
  </si>
  <si>
    <t xml:space="preserve">GLK-EAT-CH200A</t>
  </si>
  <si>
    <t xml:space="preserve">GenInterlock EAT-CH200A Generator Interlock Kit Breaker Panel 150/200 Amp CH Panels Eaton/Cutler Hammer</t>
  </si>
  <si>
    <t xml:space="preserve">Eaton / Cutler-Hammer</t>
  </si>
  <si>
    <t xml:space="preserve">150 / 200 Amp CH Series panels made PRIOR to 2019</t>
  </si>
  <si>
    <t xml:space="preserve">1-1/2 in gap between bottom of main breaker and top breaker. For CH panels made prior to 2019; does NOT work with the new CH panel with plug-in neutral.</t>
  </si>
  <si>
    <t xml:space="preserve">150 / 200 Amp CH Panels Eaton / Cutler Hammer interlock kit; Owner's Manual</t>
  </si>
  <si>
    <t xml:space="preserve">Interlock kit for Eaton/Cutler-Hammer CH series 150/200 amp panels made prior to 2019 with a single-handle horizontal-throw main. Requires a 1-1/2 in gap below the main; not compatible with newer plug-in-neutral CH panels. Generator breaker top left (2 positions).</t>
  </si>
  <si>
    <t xml:space="preserve">https://www.duromaxpower.com/products/geninterlock-eat-ch200a-generator-interlock-kit-breaker-panel-150-200-amp-ch-panels-eaton-cutler-hammer</t>
  </si>
  <si>
    <t xml:space="preserve">https://cdn.shopify.com/s/files/1/0613/1168/0689/files/GLK-EAT-CH200A_1_1800x1800-2.png?v=1749582588</t>
  </si>
  <si>
    <t xml:space="preserve">For newer CH plug-in-neutral panels, see EAT-PN200. Warranty: 2 Year Limited Factory Warranty; 30 Day Satisfaction Guaranteed. Weight: 1 lbs.</t>
  </si>
  <si>
    <t xml:space="preserve">GLK-SD-200SA</t>
  </si>
  <si>
    <t xml:space="preserve">GenInterlock SD-200SA Generator Interlock Kit Breaker Panel 150/200 Amp Panels Square D Meter Main Homeline</t>
  </si>
  <si>
    <t xml:space="preserve">150 / 200 Amp Square D Meter Main Homeline panels</t>
  </si>
  <si>
    <t xml:space="preserve">150/200A per title; spec table Amp row says 100; main breaker described as 200 Amp</t>
  </si>
  <si>
    <t xml:space="preserve">Horizontal throw, left (on) and right (off); 4 handle main breaker</t>
  </si>
  <si>
    <t xml:space="preserve">Generator (backfeed) breaker position: Below main. Breaker not listed in box contents.</t>
  </si>
  <si>
    <t xml:space="preserve">Meter main (Homeline) panel; 200 Amp horizontal throw 4 handle main breaker.</t>
  </si>
  <si>
    <t xml:space="preserve">150 / 200 Amp Panels Square D Meter Main Homeline interlock kit; Owner's Manual</t>
  </si>
  <si>
    <t xml:space="preserve">Interlock kit for Square D Homeline meter-main panels with a 200 amp horizontal-throw 4-handle main breaker. Generator breaker mounts below the main.</t>
  </si>
  <si>
    <t xml:space="preserve">https://www.duromaxpower.com/products/geninterlock-sd-200sa-generator-interlock-kit-breaker-panel-150-200-amp-panels-square-d-meter-main-homeline</t>
  </si>
  <si>
    <t xml:space="preserve">https://cdn.shopify.com/s/files/1/0613/1168/0689/files/GLK-SD-200SA_1_1800x1800-2.png?v=1749582581</t>
  </si>
  <si>
    <t xml:space="preserve">Amp rating is inconsistent on the page: title says 150/200 Amp, spec table 'Amp' row says 100, main breaker row says 200 Amp. Warranty: 2 Year Limited Factory Warranty; 30 Day Satisfaction Guaranteed. Weight: 1 lbs.</t>
  </si>
  <si>
    <t xml:space="preserve">GLK-SIE-P1</t>
  </si>
  <si>
    <t xml:space="preserve">GenInterlock SIE-P1 Generator Interlock Kit Breaker Panel 100 Amp Panels Siemens and Murray</t>
  </si>
  <si>
    <t xml:space="preserve">100 Amp Panels Siemens and Murray</t>
  </si>
  <si>
    <t xml:space="preserve">Horizontal throw, Left (on) Right (off); single handle</t>
  </si>
  <si>
    <t xml:space="preserve">Generator (backfeed) breaker position: Top Left side 2 positions. Breaker not listed in box contents.</t>
  </si>
  <si>
    <t xml:space="preserve">Fits both 7/8 and 1 1/4 in spacing panels (7/8 to 1-1/4 between Main and Generator breaker).</t>
  </si>
  <si>
    <t xml:space="preserve">100 Amp Panels Siemens and Murray interlock kit; Owner's Manual</t>
  </si>
  <si>
    <t xml:space="preserve">Interlock kit for Siemens and Murray 100 amp panels with a single-handle horizontal-throw main breaker. Fits 7/8 to 1-1/4 in spacing; generator breaker top left (2 positions). Replaces the MUR-100A.</t>
  </si>
  <si>
    <t xml:space="preserve">https://www.duromaxpower.com/products/geninterlock-sie-p1-generator-interlock-kit-breaker-panel-100-amp-panels-siemens-and-murray</t>
  </si>
  <si>
    <t xml:space="preserve">https://cdn.shopify.com/s/files/1/0613/1168/0689/files/GLK-SIE-P1_1_1800x1800-2.png?v=1749582579</t>
  </si>
  <si>
    <t xml:space="preserve">Replaces model MUR-100A. Warranty: 2 Year Limited Factory Warranty; 30 Day Satisfaction Guaranteed. Weight: 1 lbs.</t>
  </si>
  <si>
    <t xml:space="preserve">GLK-GE-200HDA</t>
  </si>
  <si>
    <t xml:space="preserve">GenInterlock GE-200HDA Generator Interlock Kit Breaker Panel 150/200 Amp Newer Vertical Main</t>
  </si>
  <si>
    <t xml:space="preserve">General Electric (GE) (brand implied by GE- model prefix; description text says only 'Newer Vertical Main')</t>
  </si>
  <si>
    <t xml:space="preserve">150 / 200 Amp Newer Vertical Main panels</t>
  </si>
  <si>
    <t xml:space="preserve">Requires 2-1/4 in spacing between main and first (feeder) breaker.</t>
  </si>
  <si>
    <t xml:space="preserve">150 / 200 Amp Newer Vertical Main interlock kit; Owner's Manual</t>
  </si>
  <si>
    <t xml:space="preserve">Interlock kit for 150/200 amp panels with a newer-style single-handle vertical-throw main breaker. Requires 2-1/4 in spacing between main and first breaker; generator breaker top left (2 positions).</t>
  </si>
  <si>
    <t xml:space="preserve">https://www.duromaxpower.com/products/geninterlock-ge-200hda-generator-interlock-kit-breaker-panel-150-200-amp-newer-vertical-main</t>
  </si>
  <si>
    <t xml:space="preserve">https://cdn.shopify.com/s/files/1/0613/1168/0689/files/GLK-GE-200HDA_1_1800x1800-2.png?v=1749582584</t>
  </si>
  <si>
    <t xml:space="preserve">Product text does not name the panel brand explicitly. Warranty: 2 Year Limited Factory Warranty; 30 Day Satisfaction Guaranteed. Weight: 1 lbs.</t>
  </si>
  <si>
    <t xml:space="preserve">GLK-EAT-CH200XA</t>
  </si>
  <si>
    <t xml:space="preserve">GenInterlock EAT-CH200XA Generator Interlock Kit Breaker Panel 150/200 Amp Panels Eaton / Cutler Hammer</t>
  </si>
  <si>
    <t xml:space="preserve">Cutler Hammer CH Series 150 &amp; 200 Vertical operated main (Old CH panels)</t>
  </si>
  <si>
    <t xml:space="preserve">Vertical throw, up (on) to down (off); single handle</t>
  </si>
  <si>
    <t xml:space="preserve">2-1/4 in spacing from bottom of main to top left breaker. Old CH panels.</t>
  </si>
  <si>
    <t xml:space="preserve">150 / 200 Amp Panels Eaton / Cutler Hammer Vertical Throw interlock kit; Owner's Manual</t>
  </si>
  <si>
    <t xml:space="preserve">Cutler-Hammer/Eaton interlock clip for older CH series 150/200 amp panels with a vertical-operated single-handle main. Requires 2-1/4 in spacing from bottom of main to top left breaker; generator breaker top left (2 positions).</t>
  </si>
  <si>
    <t xml:space="preserve">https://www.duromaxpower.com/products/geninterlock-eat-ch200xa-generator-interlock-kit-breaker-panel-150-200-amp-panels-eaton-cutler-hammer</t>
  </si>
  <si>
    <t xml:space="preserve">https://cdn.shopify.com/s/files/1/0613/1168/0689/files/GLK-EAT-CH200XA_1_1800x1800-2.png?v=1749582583</t>
  </si>
  <si>
    <t xml:space="preserve">Out of stock at time of capture. Warranty: 2 Year Limited Factory Warranty; 30 Day Satisfaction Guaranteed. Weight: 1 lbs.</t>
  </si>
  <si>
    <t xml:space="preserve">GLK-BRY-200A</t>
  </si>
  <si>
    <t xml:space="preserve">GenInterlock BRY-200A Generator Interlock Kit Breaker Panel 150/200 Amp Bryant w/ Horizontal Throw</t>
  </si>
  <si>
    <t xml:space="preserve">Bryant</t>
  </si>
  <si>
    <t xml:space="preserve">Bryant Type BJ main breaker 150-200 Amp panels</t>
  </si>
  <si>
    <t xml:space="preserve">Horizontal throw (on/off direction not stated)</t>
  </si>
  <si>
    <t xml:space="preserve">Generator (backfeed) breaker position: Top left side 2 positions below main. Breaker not listed in box contents.</t>
  </si>
  <si>
    <t xml:space="preserve">150 / 200 Amp Bryant w/ Horizontal Throw interlock kit; Owner's Manual</t>
  </si>
  <si>
    <t xml:space="preserve">Interlock kit for Bryant 150-200 amp panels with a Type BJ horizontal-throw main breaker. Generator breaker mounts top left (2 positions) below the main.</t>
  </si>
  <si>
    <t xml:space="preserve">https://www.duromaxpower.com/products/geninterlock-bry-200a-generator-interlock-kit-breaker-panel-150-200-amp-bryant-w-horizontal-throw</t>
  </si>
  <si>
    <t xml:space="preserve">https://cdn.shopify.com/s/files/1/0613/1168/0689/files/GLK-BRY-200A_1_1800x1800-2.png?v=1749582578</t>
  </si>
  <si>
    <t xml:space="preserve">Out of stock at time of capture. No spacing requirement stated. Warranty: 2 Year Limited Factory Warranty; 30 Day Satisfaction Guaranteed. Weight: 1 lbs.</t>
  </si>
  <si>
    <t xml:space="preserve">Inlet Type</t>
  </si>
  <si>
    <t xml:space="preserve">Mounting</t>
  </si>
  <si>
    <t xml:space="preserve">Compatible Cord</t>
  </si>
  <si>
    <t xml:space="preserve">XP50PBN</t>
  </si>
  <si>
    <t xml:space="preserve">XP50PBN 50-Amp 12,500-Watt Non-Metallic Power Inlet Box</t>
  </si>
  <si>
    <t xml:space="preserve">120/240V single-phase</t>
  </si>
  <si>
    <t xml:space="preserve">Non-metallic; NEMA 3R</t>
  </si>
  <si>
    <t xml:space="preserve">Angled mount; four 1/2" and 3/4" knockouts, built-in grounding</t>
  </si>
  <si>
    <t xml:space="preserve">50-Amp 25-Foot 6-Gauge 14-50 power cord (sold separately)</t>
  </si>
  <si>
    <t xml:space="preserve">Angled-mount 50A inlet box for whole-home backup; spring-loaded weatherproof auto-closing cover; works with manual transfer switches and interlock kits.</t>
  </si>
  <si>
    <t xml:space="preserve">https://www.duromaxpower.com/products/xp50pbn-50-amp-12-500-watt-non-metallic-power-inlet-box</t>
  </si>
  <si>
    <t xml:space="preserve">https://cdn.shopify.com/s/files/1/0613/1168/0689/files/XP50PBN_001_2df0e0e5-b144-4699-b03c-db9618aee8ce.png?v=1756395426</t>
  </si>
  <si>
    <t xml:space="preserve">Inlet NEMA configuration not stated on page or in body_html (page only references a '14-50' cord). Dimensions 6.25 W x 4.375 H x 6.25 D; 2.5 lb; UPC 811640017125. Tags: 5 Year Warranty, USAmade.</t>
  </si>
  <si>
    <t xml:space="preserve">XP50PB</t>
  </si>
  <si>
    <t xml:space="preserve">XP50PB 50-Amp 12,500-Watt 120/240-Volt Metallic Power Inlet Box</t>
  </si>
  <si>
    <t xml:space="preserve">CS6375</t>
  </si>
  <si>
    <t xml:space="preserve">125/250VAC (120/240V)</t>
  </si>
  <si>
    <t xml:space="preserve">Metallic; Outdoor, NEMA 3R</t>
  </si>
  <si>
    <t xml:space="preserve">Four 1/2" and 3/4" knockouts, integrated grounding</t>
  </si>
  <si>
    <t xml:space="preserve">Connector required: CS6364</t>
  </si>
  <si>
    <t xml:space="preserve">Metallic 50A inlet box connecting a portable generator to a home via manual transfer switch or interlock kit; spring-loaded weatherproof cover.</t>
  </si>
  <si>
    <t xml:space="preserve">https://www.duromaxpower.com/products/xp50pb-50-amp-12-500-watt-120-240-volt-metallic-power-inlet-box</t>
  </si>
  <si>
    <t xml:space="preserve">https://cdn.shopify.com/s/files/1/0613/1168/0689/files/XP50PB_001_1a282f60-34fc-46f4-823d-525527437f1c.png?v=1756395390</t>
  </si>
  <si>
    <t xml:space="preserve">Dimensions 6 H x 4 W x 2.63 D; UPC 811640017118. Tags: 5 Year Warranty, USAmade.</t>
  </si>
  <si>
    <t xml:space="preserve">PBN50</t>
  </si>
  <si>
    <t xml:space="preserve">Reliance PBN50 50-Amp 12,500-Watt Non-Metallic Power Inlet Box</t>
  </si>
  <si>
    <t xml:space="preserve">Non-metallic, high-impact; raintight; indoor/outdoor rated</t>
  </si>
  <si>
    <t xml:space="preserve">POP-FAST 3/4" knockout design, 3 openings; slide-out base with 360-degree rotation; flanged cover</t>
  </si>
  <si>
    <t xml:space="preserve">Raintight, bug-proof non-metallic 50A inlet box with slide-out base for fast terminal wiring.</t>
  </si>
  <si>
    <t xml:space="preserve">https://www.duromaxpower.com/products/reliance-pbn50-50-amp-12-500-watt-non-metallic-power-inlet-box</t>
  </si>
  <si>
    <t xml:space="preserve">https://cdn.shopify.com/s/files/1/0613/1168/0689/files/PBN50_1.jpg?v=1749582622</t>
  </si>
  <si>
    <t xml:space="preserve">Inlet NEMA configuration and NEMA 3R rating not explicitly stated. Dimensions 6.25 W x 4.375 H x 6.25 D; 2.5 lb; two-year warranty.</t>
  </si>
  <si>
    <t xml:space="preserve">PB50</t>
  </si>
  <si>
    <t xml:space="preserve">Reliance PB50 50-Amp 12,500-Watt 120/240-Volt Metallic Power Inlet Box</t>
  </si>
  <si>
    <t xml:space="preserve">Outdoor NEMA 3R 50A metallic inlet box, CS6375 configuration, for generator home backup.</t>
  </si>
  <si>
    <t xml:space="preserve">https://www.duromaxpower.com/products/reliance-pb50-50-amp-12-500-watt-120-240-volt-metallic-power-inlet-box</t>
  </si>
  <si>
    <t xml:space="preserve">https://cdn.shopify.com/s/files/1/0613/1168/0689/files/PB50_1.jpg?v=1749582610</t>
  </si>
  <si>
    <t xml:space="preserve">Out of stock at fetch time. Dimensions 6 x 4 x 2.63 in (H x W x D).</t>
  </si>
  <si>
    <t xml:space="preserve">PB30</t>
  </si>
  <si>
    <t xml:space="preserve">Reliance PB30 7,500-Watt 120/240-Volt 30-Amp Non-Metallic Power Inlet Box</t>
  </si>
  <si>
    <t xml:space="preserve">Non-metallic (per title); Outdoor, NEMA 3R</t>
  </si>
  <si>
    <t xml:space="preserve">Outdoor 30A L14-30 inlet box for generators up to 7,500 running watts.</t>
  </si>
  <si>
    <t xml:space="preserve">https://www.duromaxpower.com/products/reliance-pb30-7-500-watt-120-240-volt-30-amp-non-metallic-power-inlet-box</t>
  </si>
  <si>
    <t xml:space="preserve">https://cdn.shopify.com/s/files/1/0613/1168/0689/files/PB30_1.jpg?v=1749582613</t>
  </si>
  <si>
    <t xml:space="preserve">Material taken from title only; dimensions 6 x 4 x 2.63 in (same as metallic PB models) so 'non-metallic' may be a title error. 1-year limited warranty.</t>
  </si>
  <si>
    <t xml:space="preserve">PBN30</t>
  </si>
  <si>
    <t xml:space="preserve">Reliance PBN30 30 Amp NEMA Non-Metallic Power Inlet Box w/ L1430 Configuration</t>
  </si>
  <si>
    <t xml:space="preserve">Non-metallic; raintight Outdoor, NEMA 3R</t>
  </si>
  <si>
    <t xml:space="preserve">Install outdoors in open area where generator is used</t>
  </si>
  <si>
    <t xml:space="preserve">PBN-Series raintight inlet box for Pro/Tran transfer switches, Panel/Link panels and generator-ready load centers; weatherproof spring cover.</t>
  </si>
  <si>
    <t xml:space="preserve">https://www.duromaxpower.com/products/reliance-pbn30-30-amp-nema-non-metallic-power-inlet-box-w-l1430-configuration</t>
  </si>
  <si>
    <t xml:space="preserve">https://cdn.shopify.com/s/files/1/0613/1168/0689/files/PBN30_1_070795b3-5bf5-4017-a06d-7c5f5c662d06.jpg?v=1749582598</t>
  </si>
  <si>
    <t xml:space="preserve">Description text calls it 'steel' while spec/title say non-metallic (contradiction on page). Max 6 single-pole circuits; 6.25 x 6.25 x 4.25 in; 5-year limited warranty.</t>
  </si>
  <si>
    <t xml:space="preserve">PB31</t>
  </si>
  <si>
    <t xml:space="preserve">Reliance PB31 3,750-Watt 120V Pro/Tran Generator NEMA 3R Outdoor Power Inlet Box</t>
  </si>
  <si>
    <t xml:space="preserve">L5-30</t>
  </si>
  <si>
    <t xml:space="preserve">125VAC (120V single-phase)</t>
  </si>
  <si>
    <t xml:space="preserve">Zinc-plated (metal); Outdoor, NEMA 3R</t>
  </si>
  <si>
    <t xml:space="preserve">Hardwired; push-in wire connections</t>
  </si>
  <si>
    <t xml:space="preserve">120V-only 30A L5-30 inlet box for Reliance transfer switches/panels; weatherproof, rust-resistant zinc-plated construction.</t>
  </si>
  <si>
    <t xml:space="preserve">https://www.duromaxpower.com/products/reliance-pb31-3-750-watt-120v-pro-tran-generator-nema-3r-outdoor-power-inlet-box</t>
  </si>
  <si>
    <t xml:space="preserve">https://cdn.shopify.com/s/files/1/0613/1168/0689/files/PB31_1.png?v=1749582621</t>
  </si>
  <si>
    <t xml:space="preserve">120V only (not 240V). 60 Hz; 6 x 4 x 2.63 in; 3 lb; 1-year limited warranty.</t>
  </si>
  <si>
    <t xml:space="preserve">PBN31</t>
  </si>
  <si>
    <t xml:space="preserve">Reliance PBN31 30 Amp PBN-Series Power Inlet Box w/POP-FAST 3/4" Knockout Design</t>
  </si>
  <si>
    <t xml:space="preserve">125V</t>
  </si>
  <si>
    <t xml:space="preserve">POP-FAST 3/4" knockouts; slide-out base 360-degree terminal access; through-bolt mounted with two screws; 100+ cu in wiring space</t>
  </si>
  <si>
    <t xml:space="preserve">PBN-Series 30A/125V L5-30 inlet box with water-resistant, bug-proof cover and fast-install knockouts.</t>
  </si>
  <si>
    <t xml:space="preserve">https://www.duromaxpower.com/products/reliance-pbn31-30-amp-pbn-series-power-inlet-box-w-pop-fast-3-4-knockout-design</t>
  </si>
  <si>
    <t xml:space="preserve">https://cdn.shopify.com/s/files/1/0613/1168/0689/files/PBN31_1.jpg?v=1749582576</t>
  </si>
  <si>
    <t xml:space="preserve">Out of stock at fetch time. Max watts and NEMA enclosure rating not stated. 6.25 x 6.25 x 4.6 in; weight '2'.</t>
  </si>
  <si>
    <t xml:space="preserve">PBN20</t>
  </si>
  <si>
    <t xml:space="preserve">Reliance PBN20 20 Amp NEMA 3R PBN Series Non-Metallic Power Inlet Box</t>
  </si>
  <si>
    <t xml:space="preserve">Three 3/4" knockouts (sides and back); slide-out base; outdoor install</t>
  </si>
  <si>
    <t xml:space="preserve">PBN-Series non-metallic 20A L14-20 inlet box for Pro/Tran switches, Panel/Link panels and generator-ready load centers.</t>
  </si>
  <si>
    <t xml:space="preserve">https://www.duromaxpower.com/products/reliance-pbn20-20-amp-nema-3r-pbn-series-non-metallic-power-inlet-box</t>
  </si>
  <si>
    <t xml:space="preserve">https://cdn.shopify.com/s/files/1/0613/1168/0689/files/PBN20_1.jpg?v=1749582577</t>
  </si>
  <si>
    <t xml:space="preserve">Sold out at fetch time. 6.25 x 6.25 x 4.25 in.</t>
  </si>
  <si>
    <t xml:space="preserve">PB20</t>
  </si>
  <si>
    <t xml:space="preserve">Reliance PB20 5,00-Watt 120/240-Volt 20-Amp Non-Metallic Power Inlet Box</t>
  </si>
  <si>
    <t xml:space="preserve">Outdoor 20A L14-20 inlet box for generators up to 5,000 running watts.</t>
  </si>
  <si>
    <t xml:space="preserve">https://www.duromaxpower.com/products/reliance-pb20-5-00-watt-120-240-volt-20-amp-non-metallic-power-inlet-box</t>
  </si>
  <si>
    <t xml:space="preserve">https://cdn.shopify.com/s/files/1/0613/1168/0689/files/PB20_1.jpg?v=1749582617</t>
  </si>
  <si>
    <t xml:space="preserve">Title typo '5,00-Watt' (spec says 5000). Material from title only; 6 x 4 x 2.63 in.</t>
  </si>
  <si>
    <t xml:space="preserve">Plug End</t>
  </si>
  <si>
    <t xml:space="preserve">Connector End</t>
  </si>
  <si>
    <t xml:space="preserve">Length (ft)</t>
  </si>
  <si>
    <t xml:space="preserve">AWG</t>
  </si>
  <si>
    <t xml:space="preserve">Conductors</t>
  </si>
  <si>
    <t xml:space="preserve">Jacket</t>
  </si>
  <si>
    <t xml:space="preserve">Use Case</t>
  </si>
  <si>
    <t xml:space="preserve">XP5015GC</t>
  </si>
  <si>
    <t xml:space="preserve">50-Amp 15-Foot 6-Gauge 14-50 CS6364 Heavy Duty Generator Power Cord for Home Power Backup</t>
  </si>
  <si>
    <t xml:space="preserve">Generator power cord</t>
  </si>
  <si>
    <t xml:space="preserve">14-50P</t>
  </si>
  <si>
    <t xml:space="preserve">CS6364</t>
  </si>
  <si>
    <t xml:space="preserve">240V</t>
  </si>
  <si>
    <t xml:space="preserve">STW</t>
  </si>
  <si>
    <t xml:space="preserve">Home power backup</t>
  </si>
  <si>
    <t xml:space="preserve">https://www.duromaxpower.com/products/duromax-xp5050gc-15-foot-6-gauge-50-amp-generator-power-cord</t>
  </si>
  <si>
    <t xml:space="preserve">https://cdn.shopify.com/s/files/1/0613/1168/0689/products/XP5015GC001HERO_61edccfe-e76b-4232-a425-88a91b172321.png?v=1749582783</t>
  </si>
  <si>
    <t xml:space="preserve">Weight 13.19 lb; UPC 811640016517; 1-yr warranty; 100% copper; outdoor rated. Actual handle contains 'xp5050gc-15-foot' (site typo).</t>
  </si>
  <si>
    <t xml:space="preserve">XP5025GC</t>
  </si>
  <si>
    <t xml:space="preserve">50-Amp 25-Foot 6-Gauge 14-50 CS6364 Heavy Duty Generator Power Cord for Home Power Backup</t>
  </si>
  <si>
    <t xml:space="preserve">https://www.duromaxpower.com/products/duromax-xp5025gc-25-foot-6-gauge-50-amp-generator-power-cord</t>
  </si>
  <si>
    <t xml:space="preserve">https://cdn.shopify.com/s/files/1/0613/1168/0689/products/XP5025GC001HERO_2af7ba1d-5e89-4bcd-947d-f293dcbe23b9.png?v=1749582785</t>
  </si>
  <si>
    <t xml:space="preserve">Weight 20.79 lb; UPC 811640016524; 1-yr warranty; 100% copper; outdoor rated</t>
  </si>
  <si>
    <t xml:space="preserve">XP5050GC</t>
  </si>
  <si>
    <t xml:space="preserve">50-Amp 50-Foot 6-Gauge 14-50 CS6364 Heavy Duty Generator Power Cord for Home Power Backup</t>
  </si>
  <si>
    <t xml:space="preserve">https://www.duromaxpower.com/products/duromax-xp5050gc-50-foot-6-gauge-50-amp-generator-power-cord</t>
  </si>
  <si>
    <t xml:space="preserve">https://cdn.shopify.com/s/files/1/0613/1168/0689/products/XP5050GC001HERO_84e520e4-e76f-46e7-bb76-410e8b9d90e2.png?v=1749582781</t>
  </si>
  <si>
    <t xml:space="preserve">Weight 40.63 lb; UPC 811640016531; 1-yr warranty; 100% copper; outdoor rated</t>
  </si>
  <si>
    <t xml:space="preserve">XP3010GC</t>
  </si>
  <si>
    <t xml:space="preserve">30-Amp 10-Foot 10-Gauge L14-30 Heavy Duty Generator Power Cord for Home Power Backup</t>
  </si>
  <si>
    <t xml:space="preserve">L14-30P</t>
  </si>
  <si>
    <t xml:space="preserve">SJT</t>
  </si>
  <si>
    <t xml:space="preserve">https://www.duromaxpower.com/products/duromax-xp3010gc-30-amp-10-foot-10-gauge-l14-30-heavy-duty-generator-power-cord-home-power-backup-black</t>
  </si>
  <si>
    <t xml:space="preserve">https://cdn.shopify.com/s/files/1/0613/1168/0689/products/XP3010GC001HERO_a316916a-23d2-46fa-b4a6-01a0e5f8df21.png?v=1749582818</t>
  </si>
  <si>
    <t xml:space="preserve">Weight 4.21 lb; UPC 811640016487; UL listed; 1-yr warranty; 100% copper</t>
  </si>
  <si>
    <t xml:space="preserve">XP3025GC</t>
  </si>
  <si>
    <t xml:space="preserve">30-Amp 25-Foot 10-Gauge L14-30 Heavy Duty Generator Power Cord for Home Power Backup</t>
  </si>
  <si>
    <t xml:space="preserve">https://www.duromaxpower.com/products/duromax-xp3025gc-25-foot-10-gauge-30-amp-generator-power-cord</t>
  </si>
  <si>
    <t xml:space="preserve">https://cdn.shopify.com/s/files/1/0613/1168/0689/products/XP3025GC001HERO_f3e2451c-7cbb-4584-bf50-5369e18866f8.png?v=1749582817</t>
  </si>
  <si>
    <t xml:space="preserve">Weight 8.36 lb; UPC 811640016494; UL listed; 1-yr warranty; 100% copper</t>
  </si>
  <si>
    <t xml:space="preserve">XP3050GC</t>
  </si>
  <si>
    <t xml:space="preserve">30-Amp 50-Foot 10-Gauge L14-30 Heavy Duty Generator Power Cord for Home Power Backup</t>
  </si>
  <si>
    <t xml:space="preserve">https://www.duromaxpower.com/products/duromax-xp3050gc-50-foot-10-gauge-30-amp-generator-power-cord</t>
  </si>
  <si>
    <t xml:space="preserve">https://cdn.shopify.com/s/files/1/0613/1168/0689/products/XP3050GC001HERO_14b396fc-c309-4341-b4dd-2c8602a8abb1.png?v=1749582815</t>
  </si>
  <si>
    <t xml:space="preserve">Weight 15.94 lb; UPC 811640016500; UL listed; 1-yr warranty; 100% copper</t>
  </si>
  <si>
    <t xml:space="preserve">XP3030RV</t>
  </si>
  <si>
    <t xml:space="preserve">30-Amp Male to 30-Amp Female 24-Inch Generator RV Adapter</t>
  </si>
  <si>
    <t xml:space="preserve">Adapter</t>
  </si>
  <si>
    <t xml:space="preserve">Generator to RV (standard 30A RVs)</t>
  </si>
  <si>
    <t xml:space="preserve">https://www.duromaxpower.com/products/duromax-xp3030rv-42646-30-to-30-amp-rv-adapter-for-all-standard-30a-rvs</t>
  </si>
  <si>
    <t xml:space="preserve">https://cdn.shopify.com/s/files/1/0613/1168/0689/products/XP3030RV__1.jpg?v=1749582816</t>
  </si>
  <si>
    <t xml:space="preserve">Length stated as 24 in. (2 ft); weight 2 lb; UPC 661899116809; 1-yr warranty</t>
  </si>
  <si>
    <t xml:space="preserve">AC1522</t>
  </si>
  <si>
    <t xml:space="preserve">Reliance AC1522 15A 125V Color Connect Adapter Cord 5-15 Plug L5-20 Connector</t>
  </si>
  <si>
    <t xml:space="preserve">5-15</t>
  </si>
  <si>
    <t xml:space="preserve">L5-20</t>
  </si>
  <si>
    <t xml:space="preserve">Generator or power pedestal to RV, food truck, home, cabin, construction site</t>
  </si>
  <si>
    <t xml:space="preserve">https://www.duromaxpower.com/products/reliance-ac1522-15a-125v-color-connect-adapter-cord-5-15-plug-l5-20-connector</t>
  </si>
  <si>
    <t xml:space="preserve">https://cdn.shopify.com/s/files/1/0613/1168/0689/files/AC1522_1.jpg?v=1749582573</t>
  </si>
  <si>
    <t xml:space="preserve">Color Connect: patented color-identifying design, LED lighted female end, watertight molded ends; 30-day satisfaction guarantee</t>
  </si>
  <si>
    <t xml:space="preserve">AC1531</t>
  </si>
  <si>
    <t xml:space="preserve">Reliance AC1531 15A 125V Color Connect Adapter Cord 5-15 Plug L5-30 Connector</t>
  </si>
  <si>
    <t xml:space="preserve">https://www.duromaxpower.com/products/reliance-ac1531-15a-125v-color-connect-adapter-cord-5-15-plug-l5-30-connector</t>
  </si>
  <si>
    <t xml:space="preserve">https://cdn.shopify.com/s/files/1/0613/1168/0689/files/AC1531_1.jpg?v=1749582572</t>
  </si>
  <si>
    <t xml:space="preserve">AC30RV</t>
  </si>
  <si>
    <t xml:space="preserve">Reliance AC30RV 30A 125V Color Connect Adapter Cord L14-30 Plug TT30 Connector</t>
  </si>
  <si>
    <t xml:space="preserve">TT-30</t>
  </si>
  <si>
    <t xml:space="preserve">https://www.duromaxpower.com/products/reliance-ac30rv-30a-125v-color-connect-adapter-cord-l14-30-plug-tt30-connector</t>
  </si>
  <si>
    <t xml:space="preserve">https://cdn.shopify.com/s/files/1/0613/1168/0689/files/AC30RV_1.jpg?v=1749582572</t>
  </si>
  <si>
    <t xml:space="preserve">AC3130CC</t>
  </si>
  <si>
    <t xml:space="preserve">Reliance AC3130 30A 125V Color Connect Adapter Cord L5-30 Plug L14-30 Connector</t>
  </si>
  <si>
    <t xml:space="preserve">https://www.duromaxpower.com/products/reliance-ac3130-30a-125v-color-connect-adapter-cord-l5-30-plug-l14-30-connector-1</t>
  </si>
  <si>
    <t xml:space="preserve">https://cdn.shopify.com/s/files/1/0613/1168/0689/files/AC3130CC_1.jpg?v=1749582396</t>
  </si>
  <si>
    <t xml:space="preserve">Spec Part # listed as AC3130; 2-year limited warranty; dimensions 3x3x12; ship wt 2 lb. Separate listing from AC3130 (AC3130B).</t>
  </si>
  <si>
    <t xml:space="preserve">AC52RV</t>
  </si>
  <si>
    <t xml:space="preserve">Reliance AC52RV 30A 125V Color Connect Adapter Cord 14-50 Plug TT-30 Connector</t>
  </si>
  <si>
    <t xml:space="preserve">14-50</t>
  </si>
  <si>
    <t xml:space="preserve">https://www.duromaxpower.com/products/reliance-ac52rv-30a-125v-color-connect-adapter-cord-14-50-plug-tt-30-connector</t>
  </si>
  <si>
    <t xml:space="preserve">https://cdn.shopify.com/s/files/1/0613/1168/0689/files/AC52RV_1.jpg?v=1749582571</t>
  </si>
  <si>
    <t xml:space="preserve">AC3130</t>
  </si>
  <si>
    <t xml:space="preserve">Reliance AC3130B 30A 125V Color Connect Adapter Cord L5-30 Plug L14-30 Connector</t>
  </si>
  <si>
    <t xml:space="preserve">https://www.duromaxpower.com/products/reliance-ac3130-30a-125v-color-connect-adapter-cord-l5-30-plug-l14-30-connector</t>
  </si>
  <si>
    <t xml:space="preserve">https://cdn.shopify.com/s/files/1/0613/1168/0689/files/AC3130_1.jpg?v=1749582571</t>
  </si>
  <si>
    <t xml:space="preserve">Part # AC3130B per spec (variant SKU AC3130); UPC 815181019679; 30-day satisfaction guarantee</t>
  </si>
  <si>
    <t xml:space="preserve">ACRV22</t>
  </si>
  <si>
    <t xml:space="preserve">Reliance ACRV22 20A 125V Color Connect Adapter Cord TT-30 Plug L5-20 Connector</t>
  </si>
  <si>
    <t xml:space="preserve">https://www.duromaxpower.com/products/reliance-acrv22-20a-125v-color-connect-adapter-cord-tt-30-plug-l5-20-connector</t>
  </si>
  <si>
    <t xml:space="preserve">https://cdn.shopify.com/s/files/1/0613/1168/0689/files/ACRV22_1.jpg?v=1749582570</t>
  </si>
  <si>
    <t xml:space="preserve">ACRV52</t>
  </si>
  <si>
    <t xml:space="preserve">Reliance ACRV52 30A 125V Color Connect Adapter Cord TT-30 Plug 14-50 Connector</t>
  </si>
  <si>
    <t xml:space="preserve">https://www.duromaxpower.com/products/reliance-acrv52-30a-125v-color-connect-adapter-cord-tt-30-plug-14-50-connector</t>
  </si>
  <si>
    <t xml:space="preserve">https://cdn.shopify.com/s/files/1/0613/1168/0689/files/ACRV52_1.jpg?v=1749582569</t>
  </si>
  <si>
    <t xml:space="preserve">AP15RV</t>
  </si>
  <si>
    <t xml:space="preserve">Reliance AP15RV 15A 125V Color Connect Adapter Cord 5-15 Plug TT-30 Connector</t>
  </si>
  <si>
    <t xml:space="preserve">https://www.duromaxpower.com/products/reliance-ap15rv-15a-125v-color-connect-adapter-cord-5-15-plug-tt-30-connector</t>
  </si>
  <si>
    <t xml:space="preserve">https://cdn.shopify.com/s/files/1/0613/1168/0689/files/AP15RV_1.jpg?v=1749582569</t>
  </si>
  <si>
    <t xml:space="preserve">AP31RV</t>
  </si>
  <si>
    <t xml:space="preserve">Reliance AP31RV 30A 125V Color Connect Adapter Cord L5-30 Plug TT-30 Connector</t>
  </si>
  <si>
    <t xml:space="preserve">https://www.duromaxpower.com/products/reliance-ap31rv-30a-125v-color-connect-adapter-cord-l5-30-plug-tt-30-connector</t>
  </si>
  <si>
    <t xml:space="preserve">https://cdn.shopify.com/s/files/1/0613/1168/0689/files/AP31RV_1.jpg?v=1749582568</t>
  </si>
  <si>
    <t xml:space="preserve">Color Connect: patented color-identifying design, LED lighted female end, watertight molded ends; 30-day satisfaction guarantee; CONFLICT: title says 30A but spec table says Amps: 15 (amps set to 30 per title/watts)</t>
  </si>
  <si>
    <t xml:space="preserve">L1420P</t>
  </si>
  <si>
    <t xml:space="preserve">Reliance L1420P 20-Amp Generator Power Cord Plug For Up To 5000 Watt Generators</t>
  </si>
  <si>
    <t xml:space="preserve">Replacement plug (component)</t>
  </si>
  <si>
    <t xml:space="preserve">L14-20P</t>
  </si>
  <si>
    <t xml:space="preserve">120/240VAC</t>
  </si>
  <si>
    <t xml:space="preserve">Replacement plug for generator power cord</t>
  </si>
  <si>
    <t xml:space="preserve">https://www.duromaxpower.com/products/reliance-l1420p-20-amp-generator-power-cord-plug-for-up-to-5000-watt-generators</t>
  </si>
  <si>
    <t xml:space="preserve">https://cdn.shopify.com/s/files/1/0613/1168/0689/files/L1420P__1.jpg?v=1749582618</t>
  </si>
  <si>
    <t xml:space="preserve">Plug only, not a cord; 30-day satisfaction guarantee</t>
  </si>
  <si>
    <t xml:space="preserve">L1430P</t>
  </si>
  <si>
    <t xml:space="preserve">Reliance L1430P 30-Amp Generator Power Cord Plug For Up To 7500 Watt Generators</t>
  </si>
  <si>
    <t xml:space="preserve">https://www.duromaxpower.com/products/reliance-l1430p-30-amp-generator-power-cord-plug-for-up-to-7500-watt-generators</t>
  </si>
  <si>
    <t xml:space="preserve">https://cdn.shopify.com/s/files/1/0613/1168/0689/files/L1430P__1.jpg?v=1749582614</t>
  </si>
  <si>
    <t xml:space="preserve">Plug only; CONFLICT: site spec says NEMA Configuration L14-20, but model/title indicate 30A L14-30 (plug_end set from model name)</t>
  </si>
  <si>
    <t xml:space="preserve">L1430C</t>
  </si>
  <si>
    <t xml:space="preserve">Reliance L1430C 30-Amp Generator Power Cord Connector For Up To 7500W Generators</t>
  </si>
  <si>
    <t xml:space="preserve">Replacement connector (component)</t>
  </si>
  <si>
    <t xml:space="preserve">Replacement connector for generator power cord</t>
  </si>
  <si>
    <t xml:space="preserve">https://www.duromaxpower.com/products/reliance-l1430c-30-amp-generator-power-cord-connector-for-up-to-7500w-generators</t>
  </si>
  <si>
    <t xml:space="preserve">https://cdn.shopify.com/s/files/1/0613/1168/0689/files/L1430C__1.jpg?v=1749582616</t>
  </si>
  <si>
    <t xml:space="preserve">Connector only, not a cord; 30-day satisfaction guarantee</t>
  </si>
  <si>
    <t xml:space="preserve">1450P</t>
  </si>
  <si>
    <t xml:space="preserve">Reliance 1450P 50-Amp Generator Power Cord Connector - Up To 12000 Watt</t>
  </si>
  <si>
    <t xml:space="preserve">https://www.duromaxpower.com/products/reliance-1450p-50-amp-generator-power-cord-connector-up-to-12000-watt</t>
  </si>
  <si>
    <t xml:space="preserve">https://cdn.shopify.com/s/files/1/0613/1168/0689/files/1450P__1.jpg?v=1749582620</t>
  </si>
  <si>
    <t xml:space="preserve">Component only; title says 'Connector' but model ends in P; site config text 'L14-50 Straight Blade' (contradictory; straight blade = 14-50)</t>
  </si>
  <si>
    <t xml:space="preserve">LL550C</t>
  </si>
  <si>
    <t xml:space="preserve">Reliance LL550C 12,000-Watt 50-Amp Generator Power Cord Plug</t>
  </si>
  <si>
    <t xml:space="preserve">https://www.duromaxpower.com/products/reliance-ll550c-12-000-watt-50-amp-generator-power-cord-plug</t>
  </si>
  <si>
    <t xml:space="preserve">https://cdn.shopify.com/s/files/1/0613/1168/0689/files/LL550C__1.jpg?v=1749582617</t>
  </si>
  <si>
    <t xml:space="preserve">Title says 'Plug' but box contents say 'Connector'; configuration CS6364</t>
  </si>
  <si>
    <t xml:space="preserve">PC3020K</t>
  </si>
  <si>
    <t xml:space="preserve">Reliance PC3020K 20-Foot 20/30-Amp Outdoor Power Cord Kit</t>
  </si>
  <si>
    <t xml:space="preserve">Generator power cord kit</t>
  </si>
  <si>
    <t xml:space="preserve">https://www.duromaxpower.com/products/reliance-pc3020k-20-foot-20-30-amp-outdoor-power-cord-kit</t>
  </si>
  <si>
    <t xml:space="preserve">https://cdn.shopify.com/s/files/1/0613/1168/0689/files/PC3020K_1.jpg?v=1749582619</t>
  </si>
  <si>
    <t xml:space="preserve">NEMA configuration 'L14-20 and L14-30' (20/30A kit; which end is which not stated); max running watts 7,500</t>
  </si>
  <si>
    <t xml:space="preserve">PC3040</t>
  </si>
  <si>
    <t xml:space="preserve">Reliance PC3040 40-Foot 30-Amp 120/240-Volt Power Cord</t>
  </si>
  <si>
    <t xml:space="preserve">125/250VAC</t>
  </si>
  <si>
    <t xml:space="preserve">https://www.duromaxpower.com/products/reliance-pc3040-40-foot-30-amp-120-240-volt-power-cord</t>
  </si>
  <si>
    <t xml:space="preserve">https://cdn.shopify.com/s/files/1/0613/1168/0689/files/PC3040_1.jpg?v=1749582612</t>
  </si>
  <si>
    <t xml:space="preserve">Spec says NEMA Configuration L14-30 (plug/connector P/R suffix inferred from that); title says 120/240V; brand listed as Reliance Controls</t>
  </si>
  <si>
    <t xml:space="preserve">PC3050</t>
  </si>
  <si>
    <t xml:space="preserve">Reliance PC3050 50-Foot 30-Amp 4-Prong Generator Power Cord</t>
  </si>
  <si>
    <t xml:space="preserve">4-prong</t>
  </si>
  <si>
    <t xml:space="preserve">https://www.duromaxpower.com/products/reliance-pc3050-50-foot-30-amp-4-prong-generator-power-cord</t>
  </si>
  <si>
    <t xml:space="preserve">https://cdn.shopify.com/s/files/1/0613/1168/0689/files/PC3050__1.jpg?v=1749582616</t>
  </si>
  <si>
    <t xml:space="preserve">NEMA configuration not stated (4-prong 30A)</t>
  </si>
  <si>
    <t xml:space="preserve">PC3110M</t>
  </si>
  <si>
    <t xml:space="preserve">Reliance PC3110M 10' 30 Amp 120V 3 Prong Generator Power Cord w/ Molded Ends</t>
  </si>
  <si>
    <t xml:space="preserve">L5-30P</t>
  </si>
  <si>
    <t xml:space="preserve">120VAC</t>
  </si>
  <si>
    <t xml:space="preserve">3-prong</t>
  </si>
  <si>
    <t xml:space="preserve">https://www.duromaxpower.com/products/reliance-pc3110m-10-30-amp-120v-3-prong-generator-power-cord-w-molded-ends</t>
  </si>
  <si>
    <t xml:space="preserve">https://cdn.shopify.com/s/files/1/0613/1168/0689/files/PC3110M_1.jpg?v=1749582567</t>
  </si>
  <si>
    <t xml:space="preserve">Config L5-30 (P/R suffix inferred); CONFLICT: title says 30 Amp, spec says max generator input 20A@120VAC (amps set per spec); molded ends</t>
  </si>
  <si>
    <t xml:space="preserve">PC3120</t>
  </si>
  <si>
    <t xml:space="preserve">Reliance PC3120 20-Foot 30-Amp Generator Power Cord</t>
  </si>
  <si>
    <t xml:space="preserve">https://www.duromaxpower.com/products/reliance-pc3120-20-foot-30-amp-generator-power-cord</t>
  </si>
  <si>
    <t xml:space="preserve">https://cdn.shopify.com/s/files/1/0613/1168/0689/files/PC3120__1.jpg?v=1749582620</t>
  </si>
  <si>
    <t xml:space="preserve">Config L5-30 (P/R suffix inferred); CONFLICT: title says 30-Amp, spec says max generator input 20A@120VAC (amps set per spec)</t>
  </si>
  <si>
    <t xml:space="preserve">PC5020-14</t>
  </si>
  <si>
    <t xml:space="preserve">Reliance PC5020-14 20-Foot 50-Amp Generator Power Cord</t>
  </si>
  <si>
    <t xml:space="preserve">L14-50P</t>
  </si>
  <si>
    <t xml:space="preserve">4-wire</t>
  </si>
  <si>
    <t xml:space="preserve">https://www.duromaxpower.com/products/reliance-pc5020-14-20-foot-50-amp-generator-power-cord</t>
  </si>
  <si>
    <t xml:space="preserve">https://cdn.shopify.com/s/files/1/0613/1168/0689/files/PC5020-14_1.jpg?v=1749582614</t>
  </si>
  <si>
    <t xml:space="preserve">Plug stated as 'L14-50P' verbatim (model -14 suffix suggests NEMA 14-50P; possible site typo); all-weather construction; limited factory warranty</t>
  </si>
  <si>
    <t xml:space="preserve">PC5025-14M</t>
  </si>
  <si>
    <t xml:space="preserve">Reliance PC5025-14M 25-Foot 50-Amp Generator Power Cord</t>
  </si>
  <si>
    <t xml:space="preserve">https://www.duromaxpower.com/products/reliance-pc5025-14m-25-foot-50-amp-generator-power-cord</t>
  </si>
  <si>
    <t xml:space="preserve">https://cdn.shopify.com/s/files/1/0613/1168/0689/files/PC5025-14M_1.jpg?v=1749582578</t>
  </si>
  <si>
    <t xml:space="preserve">Plug stated as 'L14-50P' verbatim (likely NEMA 14-50P; possible site typo); all-weather construction</t>
  </si>
  <si>
    <t xml:space="preserve">Category</t>
  </si>
  <si>
    <t xml:space="preserve">Simulator Use</t>
  </si>
  <si>
    <t xml:space="preserve">Key Specs</t>
  </si>
  <si>
    <t xml:space="preserve">Relevance to Home Backup</t>
  </si>
  <si>
    <t xml:space="preserve">AGO-AirGo16-32A</t>
  </si>
  <si>
    <t xml:space="preserve">AirGo 16-32A AC Soft Starter Motor Protection for Utility and/or Generator Power</t>
  </si>
  <si>
    <t xml:space="preserve">HVAC/AC soft starter</t>
  </si>
  <si>
    <t xml:space="preserve">Option on Central AC / Heat Pump: reduce starting watts</t>
  </si>
  <si>
    <t xml:space="preserve">Manufacturer: AirGo; Part #: 16-32A; Voltage: 240V; Amps: 32A; Color: White; Warranty: 1-Year Limited; Dimensions: 1.96 x 2.96 x 5.3 in; In box: AirGo AC Soft Starter (16-32A) and Owner's Manual</t>
  </si>
  <si>
    <t xml:space="preserve">Reduces central AC compressor start-up current so it can run on a portable generator without stalling.</t>
  </si>
  <si>
    <t xml:space="preserve">Soft starter for home AC, cuts start-up current up to 70%; compatible with major HVAC brands.</t>
  </si>
  <si>
    <t xml:space="preserve">https://www.duromaxpower.com/products/airgo-16-32a-ac-soft-starter-motor-protection-for-utility-and-or-generator-power</t>
  </si>
  <si>
    <t xml:space="preserve">https://cdn.shopify.com/s/files/1/0613/1168/0689/files/AGO-AirGo16-32A_1.jpg?v=1749582389</t>
  </si>
  <si>
    <t xml:space="preserve">Price listed as MSRP; compare_at_price equals price.</t>
  </si>
  <si>
    <t xml:space="preserve">AGO-AirGo8-16A</t>
  </si>
  <si>
    <t xml:space="preserve">AirGo 8-16A AC Soft Starter Motor Protection for Utility and/or Generator Power</t>
  </si>
  <si>
    <t xml:space="preserve">Manufacturer: AirGo; Part #: 8-16A; Voltage: 240V; Amps: 16A; Color: White; Warranty: 1-Year Limited; Dimensions: 1.96 x 2.96 x 5.3 in; In box: AirGo AC Soft Starter (8-16A) and Owner's Manual</t>
  </si>
  <si>
    <t xml:space="preserve">Reduces smaller AC compressor start-up current so it can run on a portable generator without stalling.</t>
  </si>
  <si>
    <t xml:space="preserve">Soft starter for smaller home AC units, cuts start-up current up to 70%.</t>
  </si>
  <si>
    <t xml:space="preserve">https://www.duromaxpower.com/products/airgo-8-16a-ac-soft-starter-motor-protection-for-utility-and-or-generator-power</t>
  </si>
  <si>
    <t xml:space="preserve">https://cdn.shopify.com/s/files/1/0613/1168/0689/files/AGO-AirGo8-16A_1.jpg?v=1749582391</t>
  </si>
  <si>
    <t xml:space="preserve">AGO-AIRGOECKIT-32A</t>
  </si>
  <si>
    <t xml:space="preserve">AIRGO EC 32A Soft Start Controller Replacement for Well Pumps</t>
  </si>
  <si>
    <t xml:space="preserve">Well pump soft start controller</t>
  </si>
  <si>
    <t xml:space="preserve">Option on Well Pump (240V, 1-2 HP): reduce starting watts</t>
  </si>
  <si>
    <t xml:space="preserve">SKU: AIRGO EC 32A; Voltage: 240V; Applications: 1-2 HP well pumps; Start up: up to 10 starts per hour (evenly distributed); Used On: single-phase, 3-wire systems</t>
  </si>
  <si>
    <t xml:space="preserve">Lets a 1-2 HP well pump start on a portable generator by limiting start-up surge.</t>
  </si>
  <si>
    <t xml:space="preserve">Soft-start controller (kit, per image name) replacing well-pump control, reduces start-up current up to 70%.</t>
  </si>
  <si>
    <t xml:space="preserve">https://www.duromaxpower.com/products/airgo-ec-32a-soft-start-controller-replacement-for-well-pumps</t>
  </si>
  <si>
    <t xml:space="preserve">https://cdn.shopify.com/s/files/1/0613/1168/0689/files/AIRGO-EC-Complete-Kit-32A_01.png?v=1783525473</t>
  </si>
  <si>
    <t xml:space="preserve">Description text appears to reuse generic AC soft-starter copy.</t>
  </si>
  <si>
    <t xml:space="preserve">AGO-AIRGOG316-32</t>
  </si>
  <si>
    <t xml:space="preserve">AIRGO G3 16–32A Soft Start Controller for HVAC Systems, Up to 7 Ton</t>
  </si>
  <si>
    <t xml:space="preserve">SKU: AIRGO-G3-16-32A; Voltage: 240V; Phase: Single Phase; Current Rating: 16-32 Amps; Max. Operating Temp: up to 131F; Dimensions: 6.5 x 4.5 x 3 in; Weight: 1.1 lb</t>
  </si>
  <si>
    <t xml:space="preserve">Reduces start-up surge of AC systems up to 7 tons so they can run on a generator.</t>
  </si>
  <si>
    <t xml:space="preserve">Third-gen HVAC soft starter for systems up to 7 tons, up to 70% start-current reduction.</t>
  </si>
  <si>
    <t xml:space="preserve">https://www.duromaxpower.com/products/airgo-g3-16-32a-soft-start-controller-for-hvac-systems-up-to-7-ton</t>
  </si>
  <si>
    <t xml:space="preserve">https://cdn.shopify.com/s/files/1/0613/1168/0689/files/AIRGO-G3-16-32_01.png?v=1783525257</t>
  </si>
  <si>
    <t xml:space="preserve">AGO-AIRGOG38-16</t>
  </si>
  <si>
    <t xml:space="preserve">AIRGO G3 8–16A Soft Start Controller for HVAC Systems, Up to 3 Ton</t>
  </si>
  <si>
    <t xml:space="preserve">SKU: AIRGO-G3-8-16A; Voltage: 240V; Phase: Single Phase; Current Rating: 8-16 Amps; Max. Operating Temp: up to 131F; Dimensions: 6.5 x 4.5 x 3 in; Weight: 1.1 lb</t>
  </si>
  <si>
    <t xml:space="preserve">Reduces start-up surge of AC systems up to 3 tons so they can run on a generator.</t>
  </si>
  <si>
    <t xml:space="preserve">Third-gen HVAC soft starter for systems up to 3 tons, up to 70% start-current reduction.</t>
  </si>
  <si>
    <t xml:space="preserve">https://www.duromaxpower.com/products/airgo-g3-8-16a-soft-start-controller-for-hvac-systems-up-to-3-ton</t>
  </si>
  <si>
    <t xml:space="preserve">https://cdn.shopify.com/s/files/1/0613/1168/0689/files/AIRGO-G3-8-16_01.png?v=1783525055</t>
  </si>
  <si>
    <t xml:space="preserve">AGO-AIRGONC37</t>
  </si>
  <si>
    <t xml:space="preserve">AIRGO NC37A No-Capacitor Dynamic Drive Controller</t>
  </si>
  <si>
    <t xml:space="preserve">Motor drive controller / soft starter</t>
  </si>
  <si>
    <t xml:space="preserve">General motor soft start (240V motors)</t>
  </si>
  <si>
    <t xml:space="preserve">Voltage: 100-240 VAC; Amperage: 37-Amp; Overload Protection: Class 10 motor overload protection; Interface: Modbus/RTU (RS485); Data Retrieval: NFC data download</t>
  </si>
  <si>
    <t xml:space="preserve">Controls motor start (no start capacitor) to limit surge when running motors/HVAC on generator power.</t>
  </si>
  <si>
    <t xml:space="preserve">37A no-capacitor dynamic drive controller with motor overload protection and Modbus/NFC; marketed for generator-friendly motor starts.</t>
  </si>
  <si>
    <t xml:space="preserve">https://www.duromaxpower.com/products/airgo-nc37a-no-capacitor-dynamic-drive-controller</t>
  </si>
  <si>
    <t xml:space="preserve">https://cdn.shopify.com/s/files/1/0613/1168/0689/files/AIRGO-NC37_01.png?v=1783525601</t>
  </si>
  <si>
    <t xml:space="preserve">Description appears to reuse generic AC soft-starter copy; exact target application not stated.</t>
  </si>
  <si>
    <t xml:space="preserve">AGO-AIRGOSS25</t>
  </si>
  <si>
    <t xml:space="preserve">AIRGO SS 25A Solid State Soft Start Controller</t>
  </si>
  <si>
    <t xml:space="preserve">Solid-state soft start controller (DIN rail)</t>
  </si>
  <si>
    <t xml:space="preserve">Voltage: 100-240 VAC; Amperage: 25-Amp; SCCR: 100 kArms (UL508A compliant); Applications: compact DIN rail mount design; Certifications: UL Listed, RoHS Compliant</t>
  </si>
  <si>
    <t xml:space="preserve">Limits motor/AC start-up surge so equipment can start on a portable generator.</t>
  </si>
  <si>
    <t xml:space="preserve">Compact DIN-rail solid-state 25A soft starter, up to 70% start-current reduction.</t>
  </si>
  <si>
    <t xml:space="preserve">https://www.duromaxpower.com/products/airgo-ss-25a-solid-state-soft-start-controller</t>
  </si>
  <si>
    <t xml:space="preserve">https://cdn.shopify.com/s/files/1/0613/1168/0689/files/AIRGO-SS25_01.png?v=1783525729</t>
  </si>
  <si>
    <t xml:space="preserve">Description appears to reuse generic AC soft-starter copy.</t>
  </si>
  <si>
    <t xml:space="preserve">AGO-CARGO40A</t>
  </si>
  <si>
    <t xml:space="preserve">CARGO 40A Level 2 EV Charger for Electric Vehicles</t>
  </si>
  <si>
    <t xml:space="preserve">Level 2 EV charger</t>
  </si>
  <si>
    <t xml:space="preserve">Not a backup device (Level 2 EV charger load)</t>
  </si>
  <si>
    <t xml:space="preserve">Amperage: 40 Amps - Level 2; UL Listed: Yes; ETL Listed: Yes; Energy Star Rated: Yes</t>
  </si>
  <si>
    <t xml:space="preserve">Not a backup-power device; EV charging load (no generator relevance stated).</t>
  </si>
  <si>
    <t xml:space="preserve">40A Level 2 home EV charging station sold under the AirGo (CARGO) line.</t>
  </si>
  <si>
    <t xml:space="preserve">https://www.duromaxpower.com/products/cargo-40a-level-2-ev-charger-for-electric-vehicles</t>
  </si>
  <si>
    <t xml:space="preserve">https://cdn.shopify.com/s/files/1/0613/1168/0689/files/CARGO-40A_01.png?v=1783525905</t>
  </si>
  <si>
    <t xml:space="preserve">Out of stock at fetch time. Voltage not stated.</t>
  </si>
  <si>
    <t xml:space="preserve">Home Power Backup Installation - summary for app explainer screens</t>
  </si>
  <si>
    <t xml:space="preserve">Source: duromaxpower.com/pages/home-power-backup-installation and /pages/geninterlock</t>
  </si>
  <si>
    <t xml:space="preserve">Three ways to connect a portable generator</t>
  </si>
  <si>
    <t xml:space="preserve">1. Interlock kit - easiest, most versatile. Uses the existing breaker panel; you choose which circuits to run and can change them anytime.</t>
  </si>
  <si>
    <t xml:space="preserve">2. Transfer switch - a subpanel that moves pre-selected circuits to generator power. Installed by a licensed electrician.</t>
  </si>
  <si>
    <t xml:space="preserve">3. Extension cords - no installation; plug appliances straight into the generator. Put each high-draw appliance on its own cord/outlet.</t>
  </si>
  <si>
    <t xml:space="preserve">Interlock kit - how it works</t>
  </si>
  <si>
    <t xml:space="preserve">A mechanical slide plate on the panel cover (two plates held by three bolts). Slid down: generator backfeed breaker blocked, main breaker can be on. Slid up: backfeed breaker can be switched on, main breaker is held off.</t>
  </si>
  <si>
    <t xml:space="preserve">Why: keeps generator power from back-feeding the utility lines, which can injure line workers or damage equipment.</t>
  </si>
  <si>
    <t xml:space="preserve">Choose a kit: (1) panel brand, (2) main breaker size, (3) spacing between main and branch breakers, (4) centered/offset main, (5) vertical or horizontal main breaker throw.</t>
  </si>
  <si>
    <t xml:space="preserve">You also need: an inlet box and cord that match the generator's largest outlet, and a 2-pole backfeed breaker sized to the inlet (30A or 50A).</t>
  </si>
  <si>
    <t xml:space="preserve">Install steps: main breaker off &gt; remove panel cover (avoid bare wires) &gt; flip cover, align kit, mark holes &gt; drill and mount kit &gt; reinstall cover.</t>
  </si>
  <si>
    <t xml:space="preserve">Compatible panel brands shown: Eaton, Siemens, GE, Murray, ITE, Challenger, Square D, Thomas &amp; Betts, Cutler-Hammer, Bryant, Westinghouse.</t>
  </si>
  <si>
    <t xml:space="preserve">Transfer switch - how to choose</t>
  </si>
  <si>
    <t xml:space="preserve">Neutral: floating-neutral generator = standard 2-pole switch; bonded-neutral generator = 3-pole switch with neutral switching (check the grounding bolt or stator label).</t>
  </si>
  <si>
    <t xml:space="preserve">DuroMax bonded models: DuroMax publishes "removing the bond" instructions (see generator manuals page). Reason given: connecting to a standard 2-pole transfer switch or interlock. Warnings: work by a qualified electrician; never run with the bond removed unless grounded through the home; on several models removing the bond disables GFCI protection; label the unit as floating neutral afterward.</t>
  </si>
  <si>
    <t xml:space="preserve">As shipped (per manuals): all iH / iHT inverters, DS iX inverters, DS13000MX/MXT and XP15000HX/HXT (incl. + EFI) are BONDED. XP17500HX/HXT and XP15500HX/HXT (confirmed by DuroMax), XP13000HX/HXT, XP5500HX, XP10000X, XP4850EH, XP11500EH, XP13000EH, DS10000EH are FLOATING.</t>
  </si>
  <si>
    <t xml:space="preserve">Size: up to 7,200 W = 6-circuit switch with 30A inlet. Above 7,200 W = 10-circuit switch with 50A inlet.</t>
  </si>
  <si>
    <t xml:space="preserve">Automatic vs manual: automatic switches need a generator with auto-start and an ATS outlet; manual switches are flipped by the user. All switches listed on the site are manual.</t>
  </si>
  <si>
    <t xml:space="preserve">Installation: by a licensed electrician.</t>
  </si>
  <si>
    <t xml:space="preserve">Extension cord gauge guide</t>
  </si>
  <si>
    <t xml:space="preserve">120V 15A (NEMA 5-15): up to 25 ft = 14 AWG min; 25-100 ft = 12 AWG; 100-150 ft = 10 AWG.</t>
  </si>
  <si>
    <t xml:space="preserve">120V 20A (NEMA 5-20): up to 50 ft = 12 AWG min; 50-150 ft = 10 AWG.</t>
  </si>
  <si>
    <t xml:space="preserve">30A split adapter (L14-30P to 4x 5-20R): up to 50 ft = 10 AWG min; 50-100 ft = 8 AWG (100 ft max).</t>
  </si>
  <si>
    <t xml:space="preserve">50A split adapter (14-50P to 4x 5-20R): up to 50 ft = 6 AWG min (50 ft max recommended).</t>
  </si>
  <si>
    <t xml:space="preserve">Suggested app disclaimer (for legal review)</t>
  </si>
  <si>
    <t xml:space="preserve">Wattages are typical estimates; check your appliance nameplate. Connecting a generator to home wiring must be done with an approved transfer switch or interlock kit and installed by a licensed electrician per local code.</t>
  </si>
  <si>
    <t xml:space="preserve">Tab</t>
  </si>
  <si>
    <t xml:space="preserve">Item(s)</t>
  </si>
  <si>
    <t xml:space="preserve">Issue to verify</t>
  </si>
  <si>
    <t xml:space="preserve">Generators</t>
  </si>
  <si>
    <t xml:space="preserve">Propane amps (79.16 / 39.58) and NG amps (70.83 / 35.42) do not match running watts (10,000 / 9,000). XP13000HX lists 83.13 A for the same propane wattage.</t>
  </si>
  <si>
    <t xml:space="preserve">Propane 240V amps listed as 45.52; 8,550 W / 240 V = 35.6 A. Likely typo.</t>
  </si>
  <si>
    <t xml:space="preserve">NG 120V amps listed as 85.5; 10,500 W / 120 V = 87.5 A.</t>
  </si>
  <si>
    <t xml:space="preserve">Gas runtime @50% listed as 10 hr; XP15000HXT+ lists 12 hr.</t>
  </si>
  <si>
    <t xml:space="preserve">Spec table 420cc vs URL 439cc. Sheet uses 420.</t>
  </si>
  <si>
    <t xml:space="preserve">Pre-Order, ships week of 1/4/2027.</t>
  </si>
  <si>
    <t xml:space="preserve">XP7000iH / XP7000iHT</t>
  </si>
  <si>
    <t xml:space="preserve">Only "147 lbs" listed, no dry/wet label.</t>
  </si>
  <si>
    <t xml:space="preserve">XP28000iH / XP28000iHT</t>
  </si>
  <si>
    <t xml:space="preserve">466 lb recorded as dry; page wording ambiguous.</t>
  </si>
  <si>
    <t xml:space="preserve">Product weight 258 lb vs 226 lb on XP11000iH.</t>
  </si>
  <si>
    <t xml:space="preserve">Remote Start: Yes but no electric start or battery listed.</t>
  </si>
  <si>
    <t xml:space="preserve">Parallel capability: marketing mentions parallel kits, spec table does not.</t>
  </si>
  <si>
    <t xml:space="preserve">XP15000HX / XP15000HXT</t>
  </si>
  <si>
    <t xml:space="preserve">"Idle Control No Load Low Idle" - unclear if ECO idle exists.</t>
  </si>
  <si>
    <t xml:space="preserve">Accessory list says "XP13000HX Generator" (typo). Frequency not listed.</t>
  </si>
  <si>
    <t xml:space="preserve">Primary image file is named XP17500HX.</t>
  </si>
  <si>
    <t xml:space="preserve">Site lists EPA Certified: No.</t>
  </si>
  <si>
    <t xml:space="preserve">Amazon-only</t>
  </si>
  <si>
    <t xml:space="preserve">XP11500EH, XP4850EH, DS10000EH.</t>
  </si>
  <si>
    <t xml:space="preserve">Unavailable</t>
  </si>
  <si>
    <t xml:space="preserve">XP10000X, XP13000EH (listed but sold out / unavailable on site).</t>
  </si>
  <si>
    <t xml:space="preserve">120V only - cannot feed a home panel; simulator will show extension-cord use only.</t>
  </si>
  <si>
    <t xml:space="preserve">XP15000HXT+, XP9500iHT, DS13000MXT, DS8000iX</t>
  </si>
  <si>
    <t xml:space="preserve">Bonded per manual but no unbond instructions published (siblings have them).</t>
  </si>
  <si>
    <t xml:space="preserve">XP7000iH, XP28000iH, XP28000iHT, DS13000MX, DS14000iX</t>
  </si>
  <si>
    <t xml:space="preserve">Unbond docs as read did not mention the GFCI-disabled warning that other models' docs include - confirm.</t>
  </si>
  <si>
    <t xml:space="preserve">All</t>
  </si>
  <si>
    <t xml:space="preserve">No switch page states neutral switching (3-pole). Bonded generators therefore need the bond removed to use any switch or interlock sold on the site.</t>
  </si>
  <si>
    <t xml:space="preserve">XP17500HX/HXT, XP15500HX/HXT</t>
  </si>
  <si>
    <t xml:space="preserve">No owner's manual on the manuals page yet - floating neutral confirmed by DuroMax; manual link blank.</t>
  </si>
  <si>
    <t xml:space="preserve">506C, 306D, 310CRK</t>
  </si>
  <si>
    <t xml:space="preserve">Features list and spec table disagree on breakers; spec table used.</t>
  </si>
  <si>
    <t xml:space="preserve">Stated breakers only fill 9 of 10 circuits.</t>
  </si>
  <si>
    <t xml:space="preserve">306CRK, 310CDKN, 310C, 306C</t>
  </si>
  <si>
    <t xml:space="preserve">Breakers included not listed.</t>
  </si>
  <si>
    <t xml:space="preserve">510C, 310C, 306A</t>
  </si>
  <si>
    <t xml:space="preserve">Conduit length differs between description and spec table; spec used.</t>
  </si>
  <si>
    <t xml:space="preserve">Enclosure listed as "NEMA 1R" (probably NEMA 1). Inlet not stated.</t>
  </si>
  <si>
    <t xml:space="preserve">Out of stock.</t>
  </si>
  <si>
    <t xml:space="preserve">Not included</t>
  </si>
  <si>
    <t xml:space="preserve">Accessories in the collection left off the tab: K2F10 flush-mount kit, MB30 / MB60 meter boxes, WKPBN30 / WKPBN3020 / WKPBN3040 through-wall kits.</t>
  </si>
  <si>
    <t xml:space="preserve">Interlock Kits</t>
  </si>
  <si>
    <t xml:space="preserve">Title 150/200A, spec Amp row 100, main breaker row 200A.</t>
  </si>
  <si>
    <t xml:space="preserve">Panel brand not named in text (GE implied by model prefix).</t>
  </si>
  <si>
    <t xml:space="preserve">No breaker spacing or throw direction given. Out of stock.</t>
  </si>
  <si>
    <t xml:space="preserve">Info page</t>
  </si>
  <si>
    <t xml:space="preserve">Shows Challenger, Thomas &amp; Betts, Westinghouse logos but no kit lists those brands. ITE-200A page references SIE-V2 (not sold in collection).</t>
  </si>
  <si>
    <t xml:space="preserve">Backfeed breaker not included in any kit - app should tell users they need a 2-pole breaker for their panel brand.</t>
  </si>
  <si>
    <t xml:space="preserve">Inlet Boxes</t>
  </si>
  <si>
    <t xml:space="preserve">XP50PBN, PBN50</t>
  </si>
  <si>
    <t xml:space="preserve">Inlet type not stated (assumed 50A CS6375 like XP50PB/PB50 - please confirm).</t>
  </si>
  <si>
    <t xml:space="preserve">PB30, PB20, PBN30</t>
  </si>
  <si>
    <t xml:space="preserve">Material conflicts between title, specs and description (metallic vs non-metallic).</t>
  </si>
  <si>
    <t xml:space="preserve">Title typo "5,00-Watt"; spec says 5,000 W.</t>
  </si>
  <si>
    <t xml:space="preserve">PB50, PBN31, PBN20</t>
  </si>
  <si>
    <t xml:space="preserve">Cords</t>
  </si>
  <si>
    <t xml:space="preserve">Title 30A vs spec 15A (sheet uses 30 to match 3,750 W).</t>
  </si>
  <si>
    <t xml:space="preserve">PC3110M, PC3120</t>
  </si>
  <si>
    <t xml:space="preserve">Title 30A vs spec 20A at 120V with L5-30 ends.</t>
  </si>
  <si>
    <t xml:space="preserve">Spec says L14-20; model name is L14-30.</t>
  </si>
  <si>
    <t xml:space="preserve">Title says connector; spec says "L14-50 straight blade" (probably 14-50P).</t>
  </si>
  <si>
    <t xml:space="preserve">PC5020-14, PC5025-14M</t>
  </si>
  <si>
    <t xml:space="preserve">Plug listed as "L14-50P" - probably 14-50P.</t>
  </si>
  <si>
    <t xml:space="preserve">PC3050, PC3020K</t>
  </si>
  <si>
    <t xml:space="preserve">Plug/connector ends not stated clearly.</t>
  </si>
  <si>
    <t xml:space="preserve">Site URL has typo ("xp5050gc-15-foot"). Out of stock.</t>
  </si>
  <si>
    <t xml:space="preserve">AirGo</t>
  </si>
  <si>
    <t xml:space="preserve">EC 32A, NC37A, SS25</t>
  </si>
  <si>
    <t xml:space="preserve">Descriptions reuse generic AC soft-starter wording; intended use of NC37A unclear.</t>
  </si>
  <si>
    <t xml:space="preserve">All soft starters</t>
  </si>
  <si>
    <t xml:space="preserve">Only claim on site is "up to 70%" start-current reduction - simulator will use this as the max; please confirm an appropriate typical value.</t>
  </si>
  <si>
    <t xml:space="preserve">CARGO 40A</t>
  </si>
  <si>
    <t xml:space="preserve">Level 2 EV charger, not backup-related. Out of stock.</t>
  </si>
</sst>
</file>

<file path=xl/styles.xml><?xml version="1.0" encoding="utf-8"?>
<styleSheet xmlns="http://schemas.openxmlformats.org/spreadsheetml/2006/main">
  <numFmts count="6">
    <numFmt numFmtId="164" formatCode="General"/>
    <numFmt numFmtId="165" formatCode="\$#,##0"/>
    <numFmt numFmtId="166" formatCode="#,##0"/>
    <numFmt numFmtId="167" formatCode="0.00"/>
    <numFmt numFmtId="168" formatCode="0.0"/>
    <numFmt numFmtId="169" formatCode="\$#,##0.00"/>
  </numFmts>
  <fonts count="19">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0"/>
      <color rgb="FF000000"/>
      <name val="Arial"/>
      <family val="0"/>
      <charset val="1"/>
    </font>
    <font>
      <b val="true"/>
      <sz val="12"/>
      <color rgb="FF1F3864"/>
      <name val="Arial"/>
      <family val="0"/>
      <charset val="1"/>
    </font>
    <font>
      <b val="true"/>
      <sz val="10"/>
      <color rgb="FFFFFFFF"/>
      <name val="Arial"/>
      <family val="0"/>
      <charset val="1"/>
    </font>
    <font>
      <b val="true"/>
      <sz val="9"/>
      <color rgb="FFFFFFFF"/>
      <name val="Arial"/>
      <family val="0"/>
      <charset val="1"/>
    </font>
    <font>
      <sz val="9"/>
      <name val="Arial"/>
      <family val="0"/>
      <charset val="1"/>
    </font>
    <font>
      <b val="true"/>
      <sz val="9"/>
      <name val="Arial"/>
      <family val="0"/>
      <charset val="1"/>
    </font>
    <font>
      <u val="single"/>
      <sz val="9"/>
      <color rgb="FF0563C1"/>
      <name val="Arial"/>
      <family val="0"/>
      <charset val="1"/>
    </font>
    <font>
      <sz val="10"/>
      <name val="Arial"/>
      <family val="2"/>
    </font>
    <font>
      <b val="true"/>
      <sz val="9"/>
      <color rgb="FF000000"/>
      <name val="Arial"/>
      <family val="0"/>
      <charset val="1"/>
    </font>
    <font>
      <sz val="9"/>
      <color rgb="FF0000FF"/>
      <name val="Arial"/>
      <family val="0"/>
      <charset val="1"/>
    </font>
    <font>
      <sz val="9"/>
      <color rgb="FF000000"/>
      <name val="Arial"/>
      <family val="0"/>
      <charset val="1"/>
    </font>
    <font>
      <i val="true"/>
      <sz val="9"/>
      <name val="Arial"/>
      <family val="0"/>
      <charset val="1"/>
    </font>
    <font>
      <b val="true"/>
      <sz val="11"/>
      <color rgb="FFFFFFFF"/>
      <name val="Arial"/>
      <family val="0"/>
      <charset val="1"/>
    </font>
    <font>
      <sz val="10"/>
      <name val="Arial"/>
      <family val="0"/>
      <charset val="1"/>
    </font>
  </fonts>
  <fills count="15">
    <fill>
      <patternFill patternType="none"/>
    </fill>
    <fill>
      <patternFill patternType="gray125"/>
    </fill>
    <fill>
      <patternFill patternType="solid">
        <fgColor rgb="FF2E75B6"/>
        <bgColor rgb="FF2F5597"/>
      </patternFill>
    </fill>
    <fill>
      <patternFill patternType="solid">
        <fgColor rgb="FFC55A11"/>
        <bgColor rgb="FF806000"/>
      </patternFill>
    </fill>
    <fill>
      <patternFill patternType="solid">
        <fgColor rgb="FF548235"/>
        <bgColor rgb="FF595959"/>
      </patternFill>
    </fill>
    <fill>
      <patternFill patternType="solid">
        <fgColor rgb="FF7030A0"/>
        <bgColor rgb="FF993366"/>
      </patternFill>
    </fill>
    <fill>
      <patternFill patternType="solid">
        <fgColor rgb="FFBF8F00"/>
        <bgColor rgb="FFC55A11"/>
      </patternFill>
    </fill>
    <fill>
      <patternFill patternType="solid">
        <fgColor rgb="FF305496"/>
        <bgColor rgb="FF2F5597"/>
      </patternFill>
    </fill>
    <fill>
      <patternFill patternType="solid">
        <fgColor rgb="FF404040"/>
        <bgColor rgb="FF1F3864"/>
      </patternFill>
    </fill>
    <fill>
      <patternFill patternType="solid">
        <fgColor rgb="FF2F5597"/>
        <bgColor rgb="FF305496"/>
      </patternFill>
    </fill>
    <fill>
      <patternFill patternType="solid">
        <fgColor rgb="FF806000"/>
        <bgColor rgb="FF595959"/>
      </patternFill>
    </fill>
    <fill>
      <patternFill patternType="solid">
        <fgColor rgb="FF595959"/>
        <bgColor rgb="FF404040"/>
      </patternFill>
    </fill>
    <fill>
      <patternFill patternType="solid">
        <fgColor rgb="FF1F6F5C"/>
        <bgColor rgb="FF2F5597"/>
      </patternFill>
    </fill>
    <fill>
      <patternFill patternType="solid">
        <fgColor rgb="FF1F3864"/>
        <bgColor rgb="FF404040"/>
      </patternFill>
    </fill>
    <fill>
      <patternFill patternType="solid">
        <fgColor rgb="FFEAF1FB"/>
        <bgColor rgb="FFFF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center" vertical="center" textRotation="0" wrapText="false" indent="0" shrinkToFit="false"/>
      <protection locked="true" hidden="false"/>
    </xf>
    <xf numFmtId="164" fontId="7" fillId="3" borderId="0" xfId="0" applyFont="true" applyBorder="true" applyAlignment="true" applyProtection="false">
      <alignment horizontal="center" vertical="center" textRotation="0" wrapText="false" indent="0" shrinkToFit="false"/>
      <protection locked="true" hidden="false"/>
    </xf>
    <xf numFmtId="164" fontId="7" fillId="4" borderId="0" xfId="0" applyFont="true" applyBorder="true" applyAlignment="true" applyProtection="false">
      <alignment horizontal="center" vertical="center" textRotation="0" wrapText="false" indent="0" shrinkToFit="false"/>
      <protection locked="true" hidden="false"/>
    </xf>
    <xf numFmtId="164" fontId="7" fillId="5" borderId="0" xfId="0" applyFont="true" applyBorder="true" applyAlignment="true" applyProtection="false">
      <alignment horizontal="center" vertical="center" textRotation="0" wrapText="false" indent="0" shrinkToFit="false"/>
      <protection locked="true" hidden="false"/>
    </xf>
    <xf numFmtId="164" fontId="7" fillId="6" borderId="0" xfId="0" applyFont="true" applyBorder="true" applyAlignment="true" applyProtection="false">
      <alignment horizontal="center" vertical="center" textRotation="0" wrapText="false" indent="0" shrinkToFit="false"/>
      <protection locked="true" hidden="false"/>
    </xf>
    <xf numFmtId="164" fontId="7" fillId="7" borderId="0" xfId="0" applyFont="true" applyBorder="true" applyAlignment="true" applyProtection="false">
      <alignment horizontal="center" vertical="center" textRotation="0" wrapText="false" indent="0" shrinkToFit="false"/>
      <protection locked="true" hidden="false"/>
    </xf>
    <xf numFmtId="164" fontId="7" fillId="8" borderId="0" xfId="0" applyFont="true" applyBorder="true" applyAlignment="true" applyProtection="false">
      <alignment horizontal="center" vertical="center" textRotation="0" wrapText="false" indent="0" shrinkToFit="false"/>
      <protection locked="true" hidden="false"/>
    </xf>
    <xf numFmtId="164" fontId="7" fillId="9" borderId="0" xfId="0" applyFont="true" applyBorder="true" applyAlignment="true" applyProtection="false">
      <alignment horizontal="center" vertical="center" textRotation="0" wrapText="false" indent="0" shrinkToFit="false"/>
      <protection locked="true" hidden="false"/>
    </xf>
    <xf numFmtId="164" fontId="7" fillId="10" borderId="0" xfId="0" applyFont="true" applyBorder="true" applyAlignment="true" applyProtection="false">
      <alignment horizontal="center" vertical="center" textRotation="0" wrapText="false" indent="0" shrinkToFit="false"/>
      <protection locked="true" hidden="false"/>
    </xf>
    <xf numFmtId="164" fontId="7" fillId="11" borderId="0" xfId="0" applyFont="true" applyBorder="true" applyAlignment="true" applyProtection="false">
      <alignment horizontal="center" vertical="center" textRotation="0" wrapText="false" indent="0" shrinkToFit="false"/>
      <protection locked="true" hidden="false"/>
    </xf>
    <xf numFmtId="164" fontId="7" fillId="12" borderId="0" xfId="0" applyFont="true" applyBorder="true" applyAlignment="true" applyProtection="false">
      <alignment horizontal="center" vertical="center" textRotation="0" wrapText="false" indent="0" shrinkToFit="false"/>
      <protection locked="true" hidden="false"/>
    </xf>
    <xf numFmtId="164" fontId="8" fillId="13" borderId="0" xfId="0" applyFont="true" applyBorder="fals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false" indent="0" shrinkToFit="false"/>
      <protection locked="true" hidden="false"/>
    </xf>
    <xf numFmtId="166" fontId="9" fillId="0" borderId="1" xfId="0" applyFont="true" applyBorder="true" applyAlignment="true" applyProtection="false">
      <alignment horizontal="general" vertical="top" textRotation="0" wrapText="false" indent="0" shrinkToFit="false"/>
      <protection locked="true" hidden="false"/>
    </xf>
    <xf numFmtId="167" fontId="9" fillId="0" borderId="1" xfId="0" applyFont="true" applyBorder="true" applyAlignment="true" applyProtection="false">
      <alignment horizontal="general" vertical="top" textRotation="0" wrapText="false" indent="0" shrinkToFit="false"/>
      <protection locked="true" hidden="false"/>
    </xf>
    <xf numFmtId="168" fontId="9" fillId="0" borderId="1" xfId="0" applyFont="true" applyBorder="true" applyAlignment="true" applyProtection="false">
      <alignment horizontal="general" vertical="top" textRotation="0" wrapText="false" indent="0" shrinkToFit="false"/>
      <protection locked="true" hidden="false"/>
    </xf>
    <xf numFmtId="164" fontId="9" fillId="14" borderId="1" xfId="0" applyFont="true" applyBorder="true" applyAlignment="true" applyProtection="false">
      <alignment horizontal="general" vertical="top" textRotation="0" wrapText="false" indent="0" shrinkToFit="false"/>
      <protection locked="true" hidden="false"/>
    </xf>
    <xf numFmtId="166" fontId="9" fillId="14" borderId="1" xfId="0" applyFont="true" applyBorder="true" applyAlignment="true" applyProtection="false">
      <alignment horizontal="general" vertical="top" textRotation="0" wrapText="false" indent="0" shrinkToFit="false"/>
      <protection locked="true" hidden="false"/>
    </xf>
    <xf numFmtId="164" fontId="9" fillId="14"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6" fontId="14"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9" fontId="9" fillId="0" borderId="1" xfId="0" applyFont="true" applyBorder="true" applyAlignment="true" applyProtection="false">
      <alignment horizontal="general" vertical="top" textRotation="0" wrapText="false" indent="0" shrinkToFit="false"/>
      <protection locked="true" hidden="false"/>
    </xf>
    <xf numFmtId="164" fontId="17" fillId="13"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AF1FB"/>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6000"/>
      <rgbColor rgb="FF800080"/>
      <rgbColor rgb="FF1F6F5C"/>
      <rgbColor rgb="FFBFBFBF"/>
      <rgbColor rgb="FF808080"/>
      <rgbColor rgb="FF9999FF"/>
      <rgbColor rgb="FF7030A0"/>
      <rgbColor rgb="FFFFFFCC"/>
      <rgbColor rgb="FFEAF1FB"/>
      <rgbColor rgb="FF660066"/>
      <rgbColor rgb="FFFF8080"/>
      <rgbColor rgb="FF0563C1"/>
      <rgbColor rgb="FFCCCCFF"/>
      <rgbColor rgb="FF000080"/>
      <rgbColor rgb="FFFF00FF"/>
      <rgbColor rgb="FFFFFF00"/>
      <rgbColor rgb="FF00FFFF"/>
      <rgbColor rgb="FF800080"/>
      <rgbColor rgb="FF800000"/>
      <rgbColor rgb="FF2F5597"/>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BF8F00"/>
      <rgbColor rgb="FFC55A11"/>
      <rgbColor rgb="FF595959"/>
      <rgbColor rgb="FF969696"/>
      <rgbColor rgb="FF1F3864"/>
      <rgbColor rgb="FF548235"/>
      <rgbColor rgb="FF003300"/>
      <rgbColor rgb="FF333300"/>
      <rgbColor rgb="FF993300"/>
      <rgbColor rgb="FF993366"/>
      <rgbColor rgb="FF305496"/>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cdn.shopify.com/s/files/1/0613/1168/0689/files/XP4850eh_manual_revised10042022_WEB.pdf" TargetMode="External"/><Relationship Id="rId3" Type="http://schemas.openxmlformats.org/officeDocument/2006/relationships/hyperlink" Target="https://www.duromaxpower.com/products/duromax-xp4850eh-4850-watt-dual-fuel-hybrid-generator-w-electric-start" TargetMode="External"/><Relationship Id="rId4" Type="http://schemas.openxmlformats.org/officeDocument/2006/relationships/hyperlink" Target="https://cdn.shopify.com/s/files/1/0613/1168/0689/products/XP4850EH_1.png?v=1749582793" TargetMode="External"/><Relationship Id="rId5" Type="http://schemas.openxmlformats.org/officeDocument/2006/relationships/hyperlink" Target="https://cdn.shopify.com/s/files/1/0613/1168/0689/files/XP5500HX_manual_revised_12012023_CARB_EPA_WEB.pdf" TargetMode="External"/><Relationship Id="rId6" Type="http://schemas.openxmlformats.org/officeDocument/2006/relationships/hyperlink" Target="https://www.duromaxpower.com/products/5500-watt-7-5-hp-portable-gas-electric-start-generator-with-co-alert" TargetMode="External"/><Relationship Id="rId7" Type="http://schemas.openxmlformats.org/officeDocument/2006/relationships/hyperlink" Target="https://cdn.shopify.com/s/files/1/0613/1168/0689/files/XP5500HX_001.png?v=1749582918" TargetMode="External"/><Relationship Id="rId8" Type="http://schemas.openxmlformats.org/officeDocument/2006/relationships/hyperlink" Target="https://cdn.shopify.com/s/files/1/0613/1168/0689/files/XP10000X_manual_revised_07152022_WEB.pdf?v=1658848035" TargetMode="External"/><Relationship Id="rId9" Type="http://schemas.openxmlformats.org/officeDocument/2006/relationships/hyperlink" Target="https://www.duromaxpower.com/products/duromax-xp10000x-10-000-watt-439cc-gas-portable-generator-with-co-alert" TargetMode="External"/><Relationship Id="rId10" Type="http://schemas.openxmlformats.org/officeDocument/2006/relationships/hyperlink" Target="https://cdn.shopify.com/s/files/1/0613/1168/0689/files/XP10000X_001.jpg?v=1749582881" TargetMode="External"/><Relationship Id="rId11" Type="http://schemas.openxmlformats.org/officeDocument/2006/relationships/hyperlink" Target="https://cdn.shopify.com/s/files/1/0613/1168/0689/files/XP11500EH_manual_revised_07262022_WEB.pdf?v=1659652695" TargetMode="External"/><Relationship Id="rId12" Type="http://schemas.openxmlformats.org/officeDocument/2006/relationships/hyperlink" Target="https://www.duromaxpower.com/products/duromax-xp11500eh-11500-watt-electric-start-dual-fuel-hybrid-portable-generator" TargetMode="External"/><Relationship Id="rId13" Type="http://schemas.openxmlformats.org/officeDocument/2006/relationships/hyperlink" Target="https://cdn.shopify.com/s/files/1/0613/1168/0689/products/XP11500EH_1.png?v=1749582880" TargetMode="External"/><Relationship Id="rId14" Type="http://schemas.openxmlformats.org/officeDocument/2006/relationships/hyperlink" Target="https://cdn.shopify.com/s/files/1/0613/1168/0689/files/XP13000HXT_manual_revised_02072025_WEB.pdf?v=1755815346" TargetMode="External"/><Relationship Id="rId15" Type="http://schemas.openxmlformats.org/officeDocument/2006/relationships/hyperlink" Target="https://www.duromaxpower.com/products/duromax-xp13000hxt-13000-watt-500cc-tri-fuel-gas-propane-natural-gas-portable-generator-with-co-alert" TargetMode="External"/><Relationship Id="rId16" Type="http://schemas.openxmlformats.org/officeDocument/2006/relationships/hyperlink" Target="https://cdn.shopify.com/s/files/1/0613/1168/0689/files/XP13000HXT_001_d1629492-0800-4e8e-ab99-6ed654584d11.png?v=1775171669" TargetMode="External"/><Relationship Id="rId17" Type="http://schemas.openxmlformats.org/officeDocument/2006/relationships/hyperlink" Target="https://cdn.shopify.com/s/files/1/0613/1168/0689/files/XP13000HX_manual_revised_09162022_WEB.pdf?v=1663372666" TargetMode="External"/><Relationship Id="rId18" Type="http://schemas.openxmlformats.org/officeDocument/2006/relationships/hyperlink" Target="https://www.duromaxpower.com/products/13000-watt-18-hp-portable-gas-electric-start-generator-with-co-alert" TargetMode="External"/><Relationship Id="rId19" Type="http://schemas.openxmlformats.org/officeDocument/2006/relationships/hyperlink" Target="https://cdn.shopify.com/s/files/1/0613/1168/0689/files/XP13000HX_001_52f77030-00ba-469f-9e97-22f772b348eb.png?v=1771880002" TargetMode="External"/><Relationship Id="rId20" Type="http://schemas.openxmlformats.org/officeDocument/2006/relationships/hyperlink" Target="https://cdn.shopify.com/s/files/1/0613/1168/0689/files/XP13000EH_manual_rev06172022_WEB.pdf?v=1656093569" TargetMode="External"/><Relationship Id="rId21" Type="http://schemas.openxmlformats.org/officeDocument/2006/relationships/hyperlink" Target="https://www.duromaxpower.com/products/duromax-xp13000eh-13000-watt-portable-hybrid-gas-propane-generator" TargetMode="External"/><Relationship Id="rId22" Type="http://schemas.openxmlformats.org/officeDocument/2006/relationships/hyperlink" Target="https://cdn.shopify.com/s/files/1/0613/1168/0689/products/XP13000EH_1.png?v=1749582853" TargetMode="External"/><Relationship Id="rId23" Type="http://schemas.openxmlformats.org/officeDocument/2006/relationships/hyperlink" Target="https://www.duromaxpower.com/products/duromax-15500-watt-tri-fuel-portable-hxt-generator-w-co-alert" TargetMode="External"/><Relationship Id="rId24" Type="http://schemas.openxmlformats.org/officeDocument/2006/relationships/hyperlink" Target="https://cdn.shopify.com/s/files/1/0613/1168/0689/files/XP15500HXT_001.jpg?v=1789610380" TargetMode="External"/><Relationship Id="rId25" Type="http://schemas.openxmlformats.org/officeDocument/2006/relationships/hyperlink" Target="https://www.duromaxpower.com/products/duromax-15500-watt-dual-fuel-portable-hx-generator-w-co-alert" TargetMode="External"/><Relationship Id="rId26" Type="http://schemas.openxmlformats.org/officeDocument/2006/relationships/hyperlink" Target="https://cdn.shopify.com/s/files/1/0613/1168/0689/files/XP17500HX_001_420214b7-6bcd-4b7b-8495-f81ceed44982.jpg?v=1789608991" TargetMode="External"/><Relationship Id="rId27" Type="http://schemas.openxmlformats.org/officeDocument/2006/relationships/hyperlink" Target="https://cdn.shopify.com/s/files/1/0613/1168/0689/files/XP15000HXT__manual_03042025_WEB_1.pdf?v=1755808459" TargetMode="External"/><Relationship Id="rId28" Type="http://schemas.openxmlformats.org/officeDocument/2006/relationships/hyperlink" Target="https://www.duromaxpower.com/products/duromax-15-000-watt-electric-start-tri-fuel-efi-portable-generator" TargetMode="External"/><Relationship Id="rId29" Type="http://schemas.openxmlformats.org/officeDocument/2006/relationships/hyperlink" Target="https://cdn.shopify.com/s/files/1/0613/1168/0689/files/XP15000HXT__001_Hero_3.png?v=1749582372" TargetMode="External"/><Relationship Id="rId30" Type="http://schemas.openxmlformats.org/officeDocument/2006/relationships/hyperlink" Target="https://cdn.shopify.com/s/files/1/0613/1168/0689/files/XP15000HX__manual_08272025_WEB.pdf?v=1756401571" TargetMode="External"/><Relationship Id="rId31" Type="http://schemas.openxmlformats.org/officeDocument/2006/relationships/hyperlink" Target="https://cdn.shopify.com/s/files/1/0613/1168/0689/files/XP15000HX__Remove_Bond_Instructions_WEB.pdf?v=1761163937" TargetMode="External"/><Relationship Id="rId32" Type="http://schemas.openxmlformats.org/officeDocument/2006/relationships/hyperlink" Target="https://www.duromaxpower.com/products/duromax-xp15000hx-15-000-watt-electric-start-dual-fuel-efi-portable-generator" TargetMode="External"/><Relationship Id="rId33" Type="http://schemas.openxmlformats.org/officeDocument/2006/relationships/hyperlink" Target="https://cdn.shopify.com/s/files/1/0613/1168/0689/files/XP15000HX__001.png?v=1754082484" TargetMode="External"/><Relationship Id="rId34" Type="http://schemas.openxmlformats.org/officeDocument/2006/relationships/hyperlink" Target="https://cdn.shopify.com/s/files/1/0613/1168/0689/files/XP15000HXT_manual_02072025_WEB.pdf?v=1755815346" TargetMode="External"/><Relationship Id="rId35" Type="http://schemas.openxmlformats.org/officeDocument/2006/relationships/hyperlink" Target="https://cdn.shopify.com/s/files/1/0613/1168/0689/files/XP15000HXT_Remove_Bond_Instructions.pdf?v=1786147971" TargetMode="External"/><Relationship Id="rId36" Type="http://schemas.openxmlformats.org/officeDocument/2006/relationships/hyperlink" Target="https://www.duromaxpower.com/products/duromax-xp15000hxt-15-000-watt-electric-start-tri-fuel-portable-generator" TargetMode="External"/><Relationship Id="rId37" Type="http://schemas.openxmlformats.org/officeDocument/2006/relationships/hyperlink" Target="https://cdn.shopify.com/s/files/1/0613/1168/0689/files/XP15000HXT_001.jpg?v=1749582562" TargetMode="External"/><Relationship Id="rId38" Type="http://schemas.openxmlformats.org/officeDocument/2006/relationships/hyperlink" Target="https://cdn.shopify.com/s/files/1/0613/1168/0689/files/XP15000HX_manual_12012023_EPA_CARB_version_WEB.pdf" TargetMode="External"/><Relationship Id="rId39" Type="http://schemas.openxmlformats.org/officeDocument/2006/relationships/hyperlink" Target="https://cdn.shopify.com/s/files/1/0613/1168/0689/files/XP15000HX_Remove_Bond_Instructions.pdf?v=1786148129" TargetMode="External"/><Relationship Id="rId40" Type="http://schemas.openxmlformats.org/officeDocument/2006/relationships/hyperlink" Target="https://www.duromaxpower.com/products/duromax-xp15000hx-15-000-watt-electric-start-dual-fuel-portable-generator" TargetMode="External"/><Relationship Id="rId41" Type="http://schemas.openxmlformats.org/officeDocument/2006/relationships/hyperlink" Target="https://cdn.shopify.com/s/files/1/0613/1168/0689/files/XP15000HX_001_f4c2fb68-68cc-4216-aac6-e6e023c75aaf.jpg?v=1749582565" TargetMode="External"/><Relationship Id="rId42" Type="http://schemas.openxmlformats.org/officeDocument/2006/relationships/hyperlink" Target="https://www.duromaxpower.com/products/duromax-17500-watt-tri-fuel-portable-hxt-generator-w-co-alert" TargetMode="External"/><Relationship Id="rId43" Type="http://schemas.openxmlformats.org/officeDocument/2006/relationships/hyperlink" Target="https://cdn.shopify.com/s/files/1/0613/1168/0689/files/XP17500HXT_001_7a0b6916-e040-4c11-8814-ea1d1273ef6c.jpg?v=1789581239" TargetMode="External"/><Relationship Id="rId44" Type="http://schemas.openxmlformats.org/officeDocument/2006/relationships/hyperlink" Target="https://www.duromaxpower.com/products/duromax-17500-watt-dual-fuel-portable-hx-generator-w-co-alert" TargetMode="External"/><Relationship Id="rId45" Type="http://schemas.openxmlformats.org/officeDocument/2006/relationships/hyperlink" Target="https://cdn.shopify.com/s/files/1/0613/1168/0689/files/XP17500HX_001.jpg?v=1789581305" TargetMode="External"/><Relationship Id="rId46" Type="http://schemas.openxmlformats.org/officeDocument/2006/relationships/hyperlink" Target="https://cdn.shopify.com/s/files/1/0613/1168/0689/files/XP2300iH_manual_revised_04042024_EPA_CARB_WEB.pdf" TargetMode="External"/><Relationship Id="rId47" Type="http://schemas.openxmlformats.org/officeDocument/2006/relationships/hyperlink" Target="https://www.duromaxpower.com/products/duromax-xp2300ih-2300-watt-80cc-dual-fuel-inverter-generator-with-co-alert" TargetMode="External"/><Relationship Id="rId48" Type="http://schemas.openxmlformats.org/officeDocument/2006/relationships/hyperlink" Target="https://cdn.shopify.com/s/files/1/0613/1168/0689/files/XP2300iHHeroTransparent.jpg?v=1749582822" TargetMode="External"/><Relationship Id="rId49" Type="http://schemas.openxmlformats.org/officeDocument/2006/relationships/hyperlink" Target="https://cdn.shopify.com/s/files/1/0613/1168/0689/files/XP7000iH_manual_revised_02162024_WEB.pdf?v=1714662622" TargetMode="External"/><Relationship Id="rId50" Type="http://schemas.openxmlformats.org/officeDocument/2006/relationships/hyperlink" Target="https://cdn.shopify.com/s/files/1/0613/1168/0689/files/XP7000iH_Inverters.pdf?v=1735255332" TargetMode="External"/><Relationship Id="rId51" Type="http://schemas.openxmlformats.org/officeDocument/2006/relationships/hyperlink" Target="https://www.duromaxpower.com/products/duromax-xp7000ih-7000-watt-dual-fuel-portable-digital-inverter-generator" TargetMode="External"/><Relationship Id="rId52" Type="http://schemas.openxmlformats.org/officeDocument/2006/relationships/hyperlink" Target="https://cdn.shopify.com/s/files/1/0613/1168/0689/files/XP7000iH_001.png?v=1749582560" TargetMode="External"/><Relationship Id="rId53" Type="http://schemas.openxmlformats.org/officeDocument/2006/relationships/hyperlink" Target="https://cdn.shopify.com/s/files/1/0613/1168/0689/files/XP7000iHT_manual_revised_11102025_WEB.pdf?v=1762799463" TargetMode="External"/><Relationship Id="rId54" Type="http://schemas.openxmlformats.org/officeDocument/2006/relationships/hyperlink" Target="https://cdn.shopify.com/s/files/1/0613/1168/0689/files/XP7000iHT_removing_the_bond_instructions_WEB.pdf" TargetMode="External"/><Relationship Id="rId55" Type="http://schemas.openxmlformats.org/officeDocument/2006/relationships/hyperlink" Target="https://www.duromaxpower.com/products/duromax-xp7000iht-7000-watt-portable-tri-fuel-inverter-generator-w-co-alert" TargetMode="External"/><Relationship Id="rId56" Type="http://schemas.openxmlformats.org/officeDocument/2006/relationships/hyperlink" Target="https://cdn.shopify.com/s/files/1/0613/1168/0689/files/XP7000iHT_001.png?v=1750803563" TargetMode="External"/><Relationship Id="rId57" Type="http://schemas.openxmlformats.org/officeDocument/2006/relationships/hyperlink" Target="https://cdn.shopify.com/s/files/1/0613/1168/0689/files/XP9500iH_manual_revised_09162026_WEB.pdf?v=1789592677" TargetMode="External"/><Relationship Id="rId58" Type="http://schemas.openxmlformats.org/officeDocument/2006/relationships/hyperlink" Target="https://cdn.shopify.com/s/files/1/0613/1168/0689/files/XP9500iH_removing_the_bond_instructions_version_1_2_WEB.pdf?v=1747339695" TargetMode="External"/><Relationship Id="rId59" Type="http://schemas.openxmlformats.org/officeDocument/2006/relationships/hyperlink" Target="https://www.duromaxpower.com/products/duromax-xp9500ih-9500-watt-dual-fuel-portable-digital-inverter-generator" TargetMode="External"/><Relationship Id="rId60" Type="http://schemas.openxmlformats.org/officeDocument/2006/relationships/hyperlink" Target="https://cdn.shopify.com/s/files/1/0613/1168/0689/files/XP9500iH_001.png?v=1749582557" TargetMode="External"/><Relationship Id="rId61" Type="http://schemas.openxmlformats.org/officeDocument/2006/relationships/hyperlink" Target="https://cdn.shopify.com/s/files/1/0613/1168/0689/files/XP9500iHT_manual_revised_09162026_WEB.pdf?v=1789592676" TargetMode="External"/><Relationship Id="rId62" Type="http://schemas.openxmlformats.org/officeDocument/2006/relationships/hyperlink" Target="https://www.duromaxpower.com/products/duromax-xp9500iht-9500-watt-portable-tri-fuel-inverter-generator-w-co-alert" TargetMode="External"/><Relationship Id="rId63" Type="http://schemas.openxmlformats.org/officeDocument/2006/relationships/hyperlink" Target="https://cdn.shopify.com/s/files/1/0613/1168/0689/files/X9500iHT_001_35af19e1-6413-49ed-a6dc-07348e1781c9.png?v=1765312039" TargetMode="External"/><Relationship Id="rId64" Type="http://schemas.openxmlformats.org/officeDocument/2006/relationships/hyperlink" Target="https://cdn.shopify.com/s/files/1/0613/1168/0689/files/XP11000iH_manual_revised_09162026_WEB.pdf?v=1789592676" TargetMode="External"/><Relationship Id="rId65" Type="http://schemas.openxmlformats.org/officeDocument/2006/relationships/hyperlink" Target="https://cdn.shopify.com/s/files/1/0613/1168/0689/files/XP11000iH_removing_the_bond_instructions_version_1_2_WEB.pdf?v=1747339695" TargetMode="External"/><Relationship Id="rId66" Type="http://schemas.openxmlformats.org/officeDocument/2006/relationships/hyperlink" Target="https://www.duromaxpower.com/products/duromax-xp11000ih-11000-watt-dual-fuel-portable-digital-inverter-generator" TargetMode="External"/><Relationship Id="rId67" Type="http://schemas.openxmlformats.org/officeDocument/2006/relationships/hyperlink" Target="https://cdn.shopify.com/s/files/1/0613/1168/0689/files/XP11000iH_001.png?v=1749582555" TargetMode="External"/><Relationship Id="rId68" Type="http://schemas.openxmlformats.org/officeDocument/2006/relationships/hyperlink" Target="https://cdn.shopify.com/s/files/1/0613/1168/0689/files/XP11000iHT_manual_revised_01092026_WEB_26de0f28-3de3-4150-b792-89df5c120acb.pdf?v=1789592676" TargetMode="External"/><Relationship Id="rId69" Type="http://schemas.openxmlformats.org/officeDocument/2006/relationships/hyperlink" Target="https://cdn.shopify.com/s/files/1/0613/1168/0689/files/XP11000iHT_removing_the_bond_instructions_WEB.pdf?v=1761163937" TargetMode="External"/><Relationship Id="rId70" Type="http://schemas.openxmlformats.org/officeDocument/2006/relationships/hyperlink" Target="https://www.duromaxpower.com/products/duromax-xp11000iht-11000-watt-portable-tri-fuel-inverter-generator-w-co-alert" TargetMode="External"/><Relationship Id="rId71" Type="http://schemas.openxmlformats.org/officeDocument/2006/relationships/hyperlink" Target="https://cdn.shopify.com/s/files/1/0613/1168/0689/files/XP11000iHT_001_c49e7dcc-db62-4212-a7fd-24fea20ba76f.png?v=1750201964" TargetMode="External"/><Relationship Id="rId72" Type="http://schemas.openxmlformats.org/officeDocument/2006/relationships/hyperlink" Target="https://cdn.shopify.com/s/files/1/0613/1168/0689/files/XP13500iH_manual_revised_02132026_PRINT_2_3.pdf?v=1787850983" TargetMode="External"/><Relationship Id="rId73" Type="http://schemas.openxmlformats.org/officeDocument/2006/relationships/hyperlink" Target="https://cdn.shopify.com/s/files/1/0613/1168/0689/files/XP13500iH_removing_the_bond_instructions_WEB.pdf?v=1786148204" TargetMode="External"/><Relationship Id="rId74" Type="http://schemas.openxmlformats.org/officeDocument/2006/relationships/hyperlink" Target="https://www.duromaxpower.com/products/duromax-13500-watt-portable-dual-fuel-inverter-generator-quiet-low-thd" TargetMode="External"/><Relationship Id="rId75" Type="http://schemas.openxmlformats.org/officeDocument/2006/relationships/hyperlink" Target="https://cdn.shopify.com/s/files/1/0613/1168/0689/files/XP13500iH_001_2.png?v=1787764844" TargetMode="External"/><Relationship Id="rId76" Type="http://schemas.openxmlformats.org/officeDocument/2006/relationships/hyperlink" Target="https://cdn.shopify.com/s/files/1/0613/1168/0689/files/XP13500iHT_manual_revised_02132026_PRINT_1_2.pdf?v=1787850984" TargetMode="External"/><Relationship Id="rId77" Type="http://schemas.openxmlformats.org/officeDocument/2006/relationships/hyperlink" Target="https://cdn.shopify.com/s/files/1/0613/1168/0689/files/XP13500iHT_removing_the_bond_instructions_WEB.pdf?v=1786148205" TargetMode="External"/><Relationship Id="rId78" Type="http://schemas.openxmlformats.org/officeDocument/2006/relationships/hyperlink" Target="https://www.duromaxpower.com/products/duromax-13500-watt-portable-tri-fuel-inverter-generator-quiet-low-thd" TargetMode="External"/><Relationship Id="rId79" Type="http://schemas.openxmlformats.org/officeDocument/2006/relationships/hyperlink" Target="https://cdn.shopify.com/s/files/1/0613/1168/0689/files/XP13500iHT_001_2.png?v=1787798761" TargetMode="External"/><Relationship Id="rId80" Type="http://schemas.openxmlformats.org/officeDocument/2006/relationships/hyperlink" Target="https://cdn.shopify.com/s/files/1/0613/1168/0689/files/XP16000iH_manual_revised_04132026_WEB.pdf?v=1789592676" TargetMode="External"/><Relationship Id="rId81" Type="http://schemas.openxmlformats.org/officeDocument/2006/relationships/hyperlink" Target="https://cdn.shopify.com/s/files/1/0613/1168/0689/files/XP16000iH_removing_the_bond_instructions_version_2_WEB.pdf?v=1747326258" TargetMode="External"/><Relationship Id="rId82" Type="http://schemas.openxmlformats.org/officeDocument/2006/relationships/hyperlink" Target="https://www.duromaxpower.com/products/16-000-watt-v-twin-dual-fuel-portable-digital-inverter-generator" TargetMode="External"/><Relationship Id="rId83" Type="http://schemas.openxmlformats.org/officeDocument/2006/relationships/hyperlink" Target="https://cdn.shopify.com/s/files/1/0613/1168/0689/files/XP16000iH_001_c82d9502-c499-4187-a30b-efee71dfbe1b.jpg?v=1749582624" TargetMode="External"/><Relationship Id="rId84" Type="http://schemas.openxmlformats.org/officeDocument/2006/relationships/hyperlink" Target="https://cdn.shopify.com/s/files/1/0613/1168/0689/files/XP16000iHT_manual_revised_04062026_WEB.pdf?v=1789592676" TargetMode="External"/><Relationship Id="rId85" Type="http://schemas.openxmlformats.org/officeDocument/2006/relationships/hyperlink" Target="https://cdn.shopify.com/s/files/1/0613/1168/0689/files/XP16000iHT_removing_the_bond_instructions_WEB.pdf?v=1744242012" TargetMode="External"/><Relationship Id="rId86" Type="http://schemas.openxmlformats.org/officeDocument/2006/relationships/hyperlink" Target="https://www.duromaxpower.com/products/duromax-16-000-watt-tri-fuel-portable-inverter-generator-w-co-alert" TargetMode="External"/><Relationship Id="rId87" Type="http://schemas.openxmlformats.org/officeDocument/2006/relationships/hyperlink" Target="https://cdn.shopify.com/s/files/1/0613/1168/0689/files/XP16000iHT_001_0486e9a2-b525-4e1d-94ee-788c5508df83.png?v=1749582455" TargetMode="External"/><Relationship Id="rId88" Type="http://schemas.openxmlformats.org/officeDocument/2006/relationships/hyperlink" Target="https://cdn.shopify.com/s/files/1/0613/1168/0689/files/XP28000iH_manual_revised_07182025_WEB_1.pdf?v=1770937923" TargetMode="External"/><Relationship Id="rId89" Type="http://schemas.openxmlformats.org/officeDocument/2006/relationships/hyperlink" Target="https://cdn.shopify.com/s/files/1/0613/1168/0689/files/XP28000iH_removing_the_bond_instructions_WEB.pdf?v=1785177004" TargetMode="External"/><Relationship Id="rId90" Type="http://schemas.openxmlformats.org/officeDocument/2006/relationships/hyperlink" Target="https://www.duromaxpower.com/products/duromax-28000-watt-dual-fuel-portable-inverter-generator-w-co-alert" TargetMode="External"/><Relationship Id="rId91" Type="http://schemas.openxmlformats.org/officeDocument/2006/relationships/hyperlink" Target="https://cdn.shopify.com/s/files/1/0613/1168/0689/files/XP28000iH_001_b58a20f3-15f9-44ab-a670-c8c14c4d7722.png?v=1771883586" TargetMode="External"/><Relationship Id="rId92" Type="http://schemas.openxmlformats.org/officeDocument/2006/relationships/hyperlink" Target="https://cdn.shopify.com/s/files/1/0613/1168/0689/files/XP28000iHT_manual_revised_07222025_WEB.pdf?v=1770937923" TargetMode="External"/><Relationship Id="rId93" Type="http://schemas.openxmlformats.org/officeDocument/2006/relationships/hyperlink" Target="https://cdn.shopify.com/s/files/1/0613/1168/0689/files/XP28000iHT_removing_the_bond_instructions_WEB.pdf?v=1774886017" TargetMode="External"/><Relationship Id="rId94" Type="http://schemas.openxmlformats.org/officeDocument/2006/relationships/hyperlink" Target="https://www.duromaxpower.com/products/duromax-28000-watt-tri-fuel-portable-inverter-generator-w-co-alert" TargetMode="External"/><Relationship Id="rId95" Type="http://schemas.openxmlformats.org/officeDocument/2006/relationships/hyperlink" Target="https://cdn.shopify.com/s/files/1/0613/1168/0689/files/XP28000iHT_001_fab890cc-4647-4c3a-92d4-a416477abef5.png?v=1771883392" TargetMode="External"/><Relationship Id="rId96" Type="http://schemas.openxmlformats.org/officeDocument/2006/relationships/hyperlink" Target="https://cdn.shopify.com/s/files/1/0613/1168/0689/files/DS10000EH_manual_revised07202022_WEB.pdf?v=1658848035" TargetMode="External"/><Relationship Id="rId97" Type="http://schemas.openxmlformats.org/officeDocument/2006/relationships/hyperlink" Target="https://www.duromaxpower.com/products/durostar-ds10000eh-10000-watt-18-hp-dual-fuel-hybrid-generator-w-electric-start" TargetMode="External"/><Relationship Id="rId98" Type="http://schemas.openxmlformats.org/officeDocument/2006/relationships/hyperlink" Target="https://cdn.shopify.com/s/files/1/0613/1168/0689/products/DS10000EH_1_f35de996-e39d-4fc3-8ab3-89f4517a375a.png?v=1749582694" TargetMode="External"/><Relationship Id="rId99" Type="http://schemas.openxmlformats.org/officeDocument/2006/relationships/hyperlink" Target="https://cdn.shopify.com/s/files/1/0613/1168/0689/files/DS13000MX_manual_rev10172025_WEB.pdf?v=1761163938" TargetMode="External"/><Relationship Id="rId100" Type="http://schemas.openxmlformats.org/officeDocument/2006/relationships/hyperlink" Target="https://cdn.shopify.com/s/files/1/0613/1168/0689/files/DS13000MX_Remove_Bond_Instructions_WEB.pdf?v=1785788297" TargetMode="External"/><Relationship Id="rId101" Type="http://schemas.openxmlformats.org/officeDocument/2006/relationships/hyperlink" Target="https://www.duromaxpower.com/products/ds13000mx-13-000-watt-dual-fuel-portable-generator-w-co-alert" TargetMode="External"/><Relationship Id="rId102" Type="http://schemas.openxmlformats.org/officeDocument/2006/relationships/hyperlink" Target="https://cdn.shopify.com/s/files/1/0613/1168/0689/files/DS13000MX-Gallery-Hero_1.png?v=1765474767" TargetMode="External"/><Relationship Id="rId103" Type="http://schemas.openxmlformats.org/officeDocument/2006/relationships/hyperlink" Target="https://cdn.shopify.com/s/files/1/0613/1168/0689/files/DS13000MXT_manual_rev11052024_WEB_81498861-c22b-437b-8725-37c4ed71a054.pdf" TargetMode="External"/><Relationship Id="rId104" Type="http://schemas.openxmlformats.org/officeDocument/2006/relationships/hyperlink" Target="https://www.duromaxpower.com/products/durostar-13-000-watt-tri-fuel-portable-generator-w-co-alert" TargetMode="External"/><Relationship Id="rId105" Type="http://schemas.openxmlformats.org/officeDocument/2006/relationships/hyperlink" Target="https://cdn.shopify.com/s/files/1/0613/1168/0689/files/DS13000MXT_001_cd0e8fda-3b80-4abb-89c0-8e7e5392f0c9.png?v=1749582393" TargetMode="External"/><Relationship Id="rId106" Type="http://schemas.openxmlformats.org/officeDocument/2006/relationships/hyperlink" Target="https://cdn.shopify.com/s/files/1/0613/1168/0689/files/DS8000iX_manual_rev09032026_WEB.pdf?v=1788463634" TargetMode="External"/><Relationship Id="rId107" Type="http://schemas.openxmlformats.org/officeDocument/2006/relationships/hyperlink" Target="https://www.duromaxpower.com/products/durostar-8-000-watt-dual-fuel-open-frame-digital-inverter-generator" TargetMode="External"/><Relationship Id="rId108" Type="http://schemas.openxmlformats.org/officeDocument/2006/relationships/hyperlink" Target="https://cdn.shopify.com/s/files/1/0613/1168/0689/files/DS8000iX_001.png?v=1788305729" TargetMode="External"/><Relationship Id="rId109" Type="http://schemas.openxmlformats.org/officeDocument/2006/relationships/hyperlink" Target="https://cdn.shopify.com/s/files/1/0613/1168/0689/files/DS14000iX_manual_rev07062026_WEB.pdf?v=1783375557" TargetMode="External"/><Relationship Id="rId110" Type="http://schemas.openxmlformats.org/officeDocument/2006/relationships/hyperlink" Target="https://cdn.shopify.com/s/files/1/0613/1168/0689/files/DS14000iX_removing_the_bond_instructions_WEB.pdf?v=1784323806" TargetMode="External"/><Relationship Id="rId111" Type="http://schemas.openxmlformats.org/officeDocument/2006/relationships/hyperlink" Target="https://www.duromaxpower.com/products/durostar-14-000-watt-dual-fuel-open-frame-digital-inverter-generator" TargetMode="External"/><Relationship Id="rId112" Type="http://schemas.openxmlformats.org/officeDocument/2006/relationships/hyperlink" Target="https://cdn.shopify.com/s/files/1/0613/1168/0689/files/DS14000iX_001.png?v=1782863805" TargetMode="External"/><Relationship Id="rId113" Type="http://schemas.openxmlformats.org/officeDocument/2006/relationships/drawing" Target="../drawings/drawing1.xml"/><Relationship Id="rId114"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hyperlink" Target="https://www.duromaxpower.com/products/reliance-r510a-120-240v-50-amp-10-circuit-pro-tran-2-outdoor-transfer-switch" TargetMode="External"/><Relationship Id="rId2" Type="http://schemas.openxmlformats.org/officeDocument/2006/relationships/hyperlink" Target="https://cdn.shopify.com/s/files/1/0613/1168/0689/files/R510A_1.jpg?v=1749582593" TargetMode="External"/><Relationship Id="rId3" Type="http://schemas.openxmlformats.org/officeDocument/2006/relationships/hyperlink" Target="https://www.duromaxpower.com/products/reliance-a510c-120-240-volt-50-amp-10-circuit-pro-tran-2-transfer-switch" TargetMode="External"/><Relationship Id="rId4" Type="http://schemas.openxmlformats.org/officeDocument/2006/relationships/hyperlink" Target="https://cdn.shopify.com/s/files/1/0613/1168/0689/files/A510C_1.jpg?v=1749582601" TargetMode="External"/><Relationship Id="rId5" Type="http://schemas.openxmlformats.org/officeDocument/2006/relationships/hyperlink" Target="https://www.duromaxpower.com/products/reliance-510d-120-240-volt-50-amp-10-circuit-pro-tran-indoor-transfer-switch" TargetMode="External"/><Relationship Id="rId6" Type="http://schemas.openxmlformats.org/officeDocument/2006/relationships/hyperlink" Target="https://cdn.shopify.com/s/files/1/0613/1168/0689/files/510D__1.jpg?v=1749582601" TargetMode="External"/><Relationship Id="rId7" Type="http://schemas.openxmlformats.org/officeDocument/2006/relationships/hyperlink" Target="https://www.duromaxpower.com/products/reliance-510c-120-240-volt-50-amp-10-circuit-pro-tran-2-indoor-transfer-switch" TargetMode="External"/><Relationship Id="rId8" Type="http://schemas.openxmlformats.org/officeDocument/2006/relationships/hyperlink" Target="https://cdn.shopify.com/s/files/1/0613/1168/0689/products/510C_1.jpg?v=1749582623" TargetMode="External"/><Relationship Id="rId9" Type="http://schemas.openxmlformats.org/officeDocument/2006/relationships/hyperlink" Target="https://www.duromaxpower.com/products/reliance-506c-120-240-volt-50-amp-6-circuit-pro-tran-indoor-transfer-switch" TargetMode="External"/><Relationship Id="rId10" Type="http://schemas.openxmlformats.org/officeDocument/2006/relationships/hyperlink" Target="https://cdn.shopify.com/s/files/1/0613/1168/0689/files/506C__1.jpg?v=1749582602" TargetMode="External"/><Relationship Id="rId11" Type="http://schemas.openxmlformats.org/officeDocument/2006/relationships/hyperlink" Target="https://www.duromaxpower.com/products/reliance-306d-120-240-volt-30-amp-6-circuit-pro-tran-indoor-transfer-switch" TargetMode="External"/><Relationship Id="rId12" Type="http://schemas.openxmlformats.org/officeDocument/2006/relationships/hyperlink" Target="https://cdn.shopify.com/s/files/1/0613/1168/0689/files/306D__1.jpg?v=1749582605" TargetMode="External"/><Relationship Id="rId13" Type="http://schemas.openxmlformats.org/officeDocument/2006/relationships/hyperlink" Target="https://www.duromaxpower.com/products/reliance-306a-120-240-volt-30-amp-6-circuit-pro-tran-indoor-transfer-switch" TargetMode="External"/><Relationship Id="rId14" Type="http://schemas.openxmlformats.org/officeDocument/2006/relationships/hyperlink" Target="https://cdn.shopify.com/s/files/1/0613/1168/0689/files/306A_1_f4b406a3-e962-4025-a98c-9d2ea1dc9345.jpg?v=1749582607" TargetMode="External"/><Relationship Id="rId15" Type="http://schemas.openxmlformats.org/officeDocument/2006/relationships/hyperlink" Target="https://www.duromaxpower.com/products/reliance-310crk-120-240-volt-30-amp-10-circuit-pro-tran-2-transfer-switches" TargetMode="External"/><Relationship Id="rId16" Type="http://schemas.openxmlformats.org/officeDocument/2006/relationships/hyperlink" Target="https://cdn.shopify.com/s/files/1/0613/1168/0689/files/310CRK_1.jpg?v=1749582603" TargetMode="External"/><Relationship Id="rId17" Type="http://schemas.openxmlformats.org/officeDocument/2006/relationships/hyperlink" Target="https://www.duromaxpower.com/products/reliance-r306a-120-240-volt-30-amp-6-circuit-pro-tran-outdoor-transfer-switch" TargetMode="External"/><Relationship Id="rId18" Type="http://schemas.openxmlformats.org/officeDocument/2006/relationships/hyperlink" Target="https://cdn.shopify.com/s/files/1/0613/1168/0689/files/R306A_1.jpg?v=1749582599" TargetMode="External"/><Relationship Id="rId19" Type="http://schemas.openxmlformats.org/officeDocument/2006/relationships/hyperlink" Target="https://www.duromaxpower.com/products/reliance-306crk-pro-tran-2-indoor-6-circuit-transfer-switch-kit-w-meters" TargetMode="External"/><Relationship Id="rId20" Type="http://schemas.openxmlformats.org/officeDocument/2006/relationships/hyperlink" Target="https://cdn.shopify.com/s/files/1/0613/1168/0689/files/306CRK_1_24ca2a2e-3a56-4bba-9c42-fc022c191a32.jpg?v=1749582605" TargetMode="External"/><Relationship Id="rId21" Type="http://schemas.openxmlformats.org/officeDocument/2006/relationships/hyperlink" Target="https://www.duromaxpower.com/products/reliance-r310a-120-240-volt-30-amp-10-circuit-pro-tran-outdoor-transfer-switch" TargetMode="External"/><Relationship Id="rId22" Type="http://schemas.openxmlformats.org/officeDocument/2006/relationships/hyperlink" Target="https://cdn.shopify.com/s/files/1/0613/1168/0689/files/R310A_1.jpg?v=1749582609" TargetMode="External"/><Relationship Id="rId23" Type="http://schemas.openxmlformats.org/officeDocument/2006/relationships/hyperlink" Target="https://www.duromaxpower.com/products/reliance-tf201w-20a-easy-tran-furnace-transfer-switch-gray" TargetMode="External"/><Relationship Id="rId24" Type="http://schemas.openxmlformats.org/officeDocument/2006/relationships/hyperlink" Target="https://cdn.shopify.com/s/files/1/0613/1168/0689/files/TF201W_1.jpg?v=1749582575" TargetMode="External"/><Relationship Id="rId25" Type="http://schemas.openxmlformats.org/officeDocument/2006/relationships/hyperlink" Target="https://www.duromaxpower.com/products/reliance-tf151w-15a-easy-tran-furnace-transfer-switch-gray" TargetMode="External"/><Relationship Id="rId26" Type="http://schemas.openxmlformats.org/officeDocument/2006/relationships/hyperlink" Target="https://cdn.shopify.com/s/files/1/0613/1168/0689/files/TF151W_1.jpg?v=1749582575" TargetMode="External"/><Relationship Id="rId27" Type="http://schemas.openxmlformats.org/officeDocument/2006/relationships/hyperlink" Target="https://www.duromaxpower.com/products/reliance-310cdkn-30-amp-10-circuit-manual-transfer-switch-kit" TargetMode="External"/><Relationship Id="rId28" Type="http://schemas.openxmlformats.org/officeDocument/2006/relationships/hyperlink" Target="https://cdn.shopify.com/s/files/1/0613/1168/0689/files/310CDKN_1.jpg?v=1749582597" TargetMode="External"/><Relationship Id="rId29" Type="http://schemas.openxmlformats.org/officeDocument/2006/relationships/hyperlink" Target="https://www.duromaxpower.com/products/reliance-310c-120-240-volt-30-amp-10-circuit-pro-tran-2-transfer-switches" TargetMode="External"/><Relationship Id="rId30" Type="http://schemas.openxmlformats.org/officeDocument/2006/relationships/hyperlink" Target="https://cdn.shopify.com/s/files/1/0613/1168/0689/files/310C_1.jpg?v=1749582604" TargetMode="External"/><Relationship Id="rId31" Type="http://schemas.openxmlformats.org/officeDocument/2006/relationships/hyperlink" Target="https://www.duromaxpower.com/products/reliance-310d-120-240-volt-30-amp-10-circuit-pro-tran-indoor-transfer-switch" TargetMode="External"/><Relationship Id="rId32" Type="http://schemas.openxmlformats.org/officeDocument/2006/relationships/hyperlink" Target="https://cdn.shopify.com/s/files/1/0613/1168/0689/files/310D_1.jpg?v=1749582608" TargetMode="External"/><Relationship Id="rId33" Type="http://schemas.openxmlformats.org/officeDocument/2006/relationships/hyperlink" Target="https://www.duromaxpower.com/products/reliance-306c-120-240-volt-30-amp-6-circuit-pro-tran-indoor-transfer-switch" TargetMode="External"/><Relationship Id="rId34" Type="http://schemas.openxmlformats.org/officeDocument/2006/relationships/hyperlink" Target="https://cdn.shopify.com/s/files/1/0613/1168/0689/files/306C_1.jpg?v=1749582606" TargetMode="External"/><Relationship Id="rId35" Type="http://schemas.openxmlformats.org/officeDocument/2006/relationships/hyperlink" Target="https://www.duromaxpower.com/products/reliance-206a-120-240-volt-20-amp-6-circuit-pro-tran-indoor-transfer-switch" TargetMode="External"/><Relationship Id="rId36" Type="http://schemas.openxmlformats.org/officeDocument/2006/relationships/hyperlink" Target="https://cdn.shopify.com/s/files/1/0613/1168/0689/files/206A_1_f2c4f8ec-3b14-4f7a-a48e-1de98757d82e.jpg?v=1749582607" TargetMode="External"/><Relationship Id="rId37" Type="http://schemas.openxmlformats.org/officeDocument/2006/relationships/hyperlink" Target="https://www.duromaxpower.com/products/reliance-r206a-120-240-volt-20-amp-6-circuit-pro-tran-outdoor-transfer-switch" TargetMode="External"/><Relationship Id="rId38" Type="http://schemas.openxmlformats.org/officeDocument/2006/relationships/hyperlink" Target="https://cdn.shopify.com/s/files/1/0613/1168/0689/files/R206A_1.jpg?v=1749582600" TargetMode="External"/><Relationship Id="rId39"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hyperlink" Target="https://www.duromaxpower.com/products/geninterlock-sd-200a-generator-interlock-kit-breaker-panel-150-200-amp-panels-square-d-qo-and-homeline" TargetMode="External"/><Relationship Id="rId2" Type="http://schemas.openxmlformats.org/officeDocument/2006/relationships/hyperlink" Target="https://cdn.shopify.com/s/files/1/0613/1168/0689/files/GLK-SD-200A_1_1800x1800-2.png?v=1749582592" TargetMode="External"/><Relationship Id="rId3" Type="http://schemas.openxmlformats.org/officeDocument/2006/relationships/hyperlink" Target="https://www.duromaxpower.com/products/geninterlock-eat-pn200-generator-interlock-kit-breaker-panel-150-200-amp-panels-cutler-hammer-br-series" TargetMode="External"/><Relationship Id="rId4" Type="http://schemas.openxmlformats.org/officeDocument/2006/relationships/hyperlink" Target="https://cdn.shopify.com/s/files/1/0613/1168/0689/files/GLK-EAT-PN200_1_cc17d7e6-16ed-4bf6-8b4f-0929adbdfe77_1800x1800-2.png?v=1749582591" TargetMode="External"/><Relationship Id="rId5" Type="http://schemas.openxmlformats.org/officeDocument/2006/relationships/hyperlink" Target="https://www.duromaxpower.com/products/geninterlock-ge-200vl-generator-interlock-kit-breaker-panel-150-200-amp-panels-general-electric-vertical" TargetMode="External"/><Relationship Id="rId6" Type="http://schemas.openxmlformats.org/officeDocument/2006/relationships/hyperlink" Target="https://cdn.shopify.com/s/files/1/0613/1168/0689/files/GLK-GE-200VL_1_1800x1800-2.png?v=1749582587" TargetMode="External"/><Relationship Id="rId7" Type="http://schemas.openxmlformats.org/officeDocument/2006/relationships/hyperlink" Target="https://www.duromaxpower.com/products/geninterlock-ite-200a-generator-interlock-kit-breaker-panel-150-200-amp-panels-siemens-and-ite" TargetMode="External"/><Relationship Id="rId8" Type="http://schemas.openxmlformats.org/officeDocument/2006/relationships/hyperlink" Target="https://cdn.shopify.com/s/files/1/0613/1168/0689/files/GLK-ITE-200A_1_1800x1800-2.png?v=1749582590" TargetMode="External"/><Relationship Id="rId9" Type="http://schemas.openxmlformats.org/officeDocument/2006/relationships/hyperlink" Target="https://www.duromaxpower.com/products/geninterlock-sd-200vl-generator-interlock-kit-breaker-panel-150-200-amp-3-1-4-4-square-d-vertical-throw" TargetMode="External"/><Relationship Id="rId10" Type="http://schemas.openxmlformats.org/officeDocument/2006/relationships/hyperlink" Target="https://cdn.shopify.com/s/files/1/0613/1168/0689/files/GLK-SD-200VL_1_1800x1800-2.png?v=1749582585" TargetMode="External"/><Relationship Id="rId11" Type="http://schemas.openxmlformats.org/officeDocument/2006/relationships/hyperlink" Target="https://www.duromaxpower.com/products/geninterlock-sie-p2-generator-interlock-kit-breaker-panel-150-200-amp-panels-siemens-and-murray" TargetMode="External"/><Relationship Id="rId12" Type="http://schemas.openxmlformats.org/officeDocument/2006/relationships/hyperlink" Target="https://cdn.shopify.com/s/files/1/0613/1168/0689/files/GLK-SIE-P2_1_1800x1800-2.png?v=1749582589" TargetMode="External"/><Relationship Id="rId13" Type="http://schemas.openxmlformats.org/officeDocument/2006/relationships/hyperlink" Target="https://www.duromaxpower.com/products/geninterlock-ge-100a-generator-interlock-kit-breaker-panel-100-amp-panels-general-electric-ge" TargetMode="External"/><Relationship Id="rId14" Type="http://schemas.openxmlformats.org/officeDocument/2006/relationships/hyperlink" Target="https://cdn.shopify.com/s/files/1/0613/1168/0689/files/GLK-GE-100A_1_1800x1800-2.png?v=1749582582" TargetMode="External"/><Relationship Id="rId15" Type="http://schemas.openxmlformats.org/officeDocument/2006/relationships/hyperlink" Target="https://www.duromaxpower.com/products/geninterlock-eat-ch200a-generator-interlock-kit-breaker-panel-150-200-amp-ch-panels-eaton-cutler-hammer" TargetMode="External"/><Relationship Id="rId16" Type="http://schemas.openxmlformats.org/officeDocument/2006/relationships/hyperlink" Target="https://cdn.shopify.com/s/files/1/0613/1168/0689/files/GLK-EAT-CH200A_1_1800x1800-2.png?v=1749582588" TargetMode="External"/><Relationship Id="rId17" Type="http://schemas.openxmlformats.org/officeDocument/2006/relationships/hyperlink" Target="https://www.duromaxpower.com/products/geninterlock-sd-200sa-generator-interlock-kit-breaker-panel-150-200-amp-panels-square-d-meter-main-homeline" TargetMode="External"/><Relationship Id="rId18" Type="http://schemas.openxmlformats.org/officeDocument/2006/relationships/hyperlink" Target="https://cdn.shopify.com/s/files/1/0613/1168/0689/files/GLK-SD-200SA_1_1800x1800-2.png?v=1749582581" TargetMode="External"/><Relationship Id="rId19" Type="http://schemas.openxmlformats.org/officeDocument/2006/relationships/hyperlink" Target="https://www.duromaxpower.com/products/geninterlock-sie-p1-generator-interlock-kit-breaker-panel-100-amp-panels-siemens-and-murray" TargetMode="External"/><Relationship Id="rId20" Type="http://schemas.openxmlformats.org/officeDocument/2006/relationships/hyperlink" Target="https://cdn.shopify.com/s/files/1/0613/1168/0689/files/GLK-SIE-P1_1_1800x1800-2.png?v=1749582579" TargetMode="External"/><Relationship Id="rId21" Type="http://schemas.openxmlformats.org/officeDocument/2006/relationships/hyperlink" Target="https://www.duromaxpower.com/products/geninterlock-ge-200hda-generator-interlock-kit-breaker-panel-150-200-amp-newer-vertical-main" TargetMode="External"/><Relationship Id="rId22" Type="http://schemas.openxmlformats.org/officeDocument/2006/relationships/hyperlink" Target="https://cdn.shopify.com/s/files/1/0613/1168/0689/files/GLK-GE-200HDA_1_1800x1800-2.png?v=1749582584" TargetMode="External"/><Relationship Id="rId23" Type="http://schemas.openxmlformats.org/officeDocument/2006/relationships/hyperlink" Target="https://www.duromaxpower.com/products/geninterlock-eat-ch200xa-generator-interlock-kit-breaker-panel-150-200-amp-panels-eaton-cutler-hammer" TargetMode="External"/><Relationship Id="rId24" Type="http://schemas.openxmlformats.org/officeDocument/2006/relationships/hyperlink" Target="https://cdn.shopify.com/s/files/1/0613/1168/0689/files/GLK-EAT-CH200XA_1_1800x1800-2.png?v=1749582583" TargetMode="External"/><Relationship Id="rId25" Type="http://schemas.openxmlformats.org/officeDocument/2006/relationships/hyperlink" Target="https://www.duromaxpower.com/products/geninterlock-bry-200a-generator-interlock-kit-breaker-panel-150-200-amp-bryant-w-horizontal-throw" TargetMode="External"/><Relationship Id="rId26" Type="http://schemas.openxmlformats.org/officeDocument/2006/relationships/hyperlink" Target="https://cdn.shopify.com/s/files/1/0613/1168/0689/files/GLK-BRY-200A_1_1800x1800-2.png?v=1749582578" TargetMode="External"/><Relationship Id="rId27"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hyperlink" Target="https://www.duromaxpower.com/products/xp50pbn-50-amp-12-500-watt-non-metallic-power-inlet-box" TargetMode="External"/><Relationship Id="rId2" Type="http://schemas.openxmlformats.org/officeDocument/2006/relationships/hyperlink" Target="https://cdn.shopify.com/s/files/1/0613/1168/0689/files/XP50PBN_001_2df0e0e5-b144-4699-b03c-db9618aee8ce.png?v=1756395426" TargetMode="External"/><Relationship Id="rId3" Type="http://schemas.openxmlformats.org/officeDocument/2006/relationships/hyperlink" Target="https://www.duromaxpower.com/products/xp50pb-50-amp-12-500-watt-120-240-volt-metallic-power-inlet-box" TargetMode="External"/><Relationship Id="rId4" Type="http://schemas.openxmlformats.org/officeDocument/2006/relationships/hyperlink" Target="https://cdn.shopify.com/s/files/1/0613/1168/0689/files/XP50PB_001_1a282f60-34fc-46f4-823d-525527437f1c.png?v=1756395390" TargetMode="External"/><Relationship Id="rId5" Type="http://schemas.openxmlformats.org/officeDocument/2006/relationships/hyperlink" Target="https://www.duromaxpower.com/products/reliance-pbn50-50-amp-12-500-watt-non-metallic-power-inlet-box" TargetMode="External"/><Relationship Id="rId6" Type="http://schemas.openxmlformats.org/officeDocument/2006/relationships/hyperlink" Target="https://cdn.shopify.com/s/files/1/0613/1168/0689/files/PBN50_1.jpg?v=1749582622" TargetMode="External"/><Relationship Id="rId7" Type="http://schemas.openxmlformats.org/officeDocument/2006/relationships/hyperlink" Target="https://www.duromaxpower.com/products/reliance-pb50-50-amp-12-500-watt-120-240-volt-metallic-power-inlet-box" TargetMode="External"/><Relationship Id="rId8" Type="http://schemas.openxmlformats.org/officeDocument/2006/relationships/hyperlink" Target="https://cdn.shopify.com/s/files/1/0613/1168/0689/files/PB50_1.jpg?v=1749582610" TargetMode="External"/><Relationship Id="rId9" Type="http://schemas.openxmlformats.org/officeDocument/2006/relationships/hyperlink" Target="https://www.duromaxpower.com/products/reliance-pb30-7-500-watt-120-240-volt-30-amp-non-metallic-power-inlet-box" TargetMode="External"/><Relationship Id="rId10" Type="http://schemas.openxmlformats.org/officeDocument/2006/relationships/hyperlink" Target="https://cdn.shopify.com/s/files/1/0613/1168/0689/files/PB30_1.jpg?v=1749582613" TargetMode="External"/><Relationship Id="rId11" Type="http://schemas.openxmlformats.org/officeDocument/2006/relationships/hyperlink" Target="https://www.duromaxpower.com/products/reliance-pbn30-30-amp-nema-non-metallic-power-inlet-box-w-l1430-configuration" TargetMode="External"/><Relationship Id="rId12" Type="http://schemas.openxmlformats.org/officeDocument/2006/relationships/hyperlink" Target="https://cdn.shopify.com/s/files/1/0613/1168/0689/files/PBN30_1_070795b3-5bf5-4017-a06d-7c5f5c662d06.jpg?v=1749582598" TargetMode="External"/><Relationship Id="rId13" Type="http://schemas.openxmlformats.org/officeDocument/2006/relationships/hyperlink" Target="https://www.duromaxpower.com/products/reliance-pb31-3-750-watt-120v-pro-tran-generator-nema-3r-outdoor-power-inlet-box" TargetMode="External"/><Relationship Id="rId14" Type="http://schemas.openxmlformats.org/officeDocument/2006/relationships/hyperlink" Target="https://cdn.shopify.com/s/files/1/0613/1168/0689/files/PB31_1.png?v=1749582621" TargetMode="External"/><Relationship Id="rId15" Type="http://schemas.openxmlformats.org/officeDocument/2006/relationships/hyperlink" Target="https://www.duromaxpower.com/products/reliance-pbn31-30-amp-pbn-series-power-inlet-box-w-pop-fast-3-4-knockout-design" TargetMode="External"/><Relationship Id="rId16" Type="http://schemas.openxmlformats.org/officeDocument/2006/relationships/hyperlink" Target="https://cdn.shopify.com/s/files/1/0613/1168/0689/files/PBN31_1.jpg?v=1749582576" TargetMode="External"/><Relationship Id="rId17" Type="http://schemas.openxmlformats.org/officeDocument/2006/relationships/hyperlink" Target="https://www.duromaxpower.com/products/reliance-pbn20-20-amp-nema-3r-pbn-series-non-metallic-power-inlet-box" TargetMode="External"/><Relationship Id="rId18" Type="http://schemas.openxmlformats.org/officeDocument/2006/relationships/hyperlink" Target="https://cdn.shopify.com/s/files/1/0613/1168/0689/files/PBN20_1.jpg?v=1749582577" TargetMode="External"/><Relationship Id="rId19" Type="http://schemas.openxmlformats.org/officeDocument/2006/relationships/hyperlink" Target="https://www.duromaxpower.com/products/reliance-pb20-5-00-watt-120-240-volt-20-amp-non-metallic-power-inlet-box" TargetMode="External"/><Relationship Id="rId20" Type="http://schemas.openxmlformats.org/officeDocument/2006/relationships/hyperlink" Target="https://cdn.shopify.com/s/files/1/0613/1168/0689/files/PB20_1.jpg?v=1749582617" TargetMode="External"/><Relationship Id="rId2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hyperlink" Target="https://www.duromaxpower.com/products/duromax-xp5050gc-15-foot-6-gauge-50-amp-generator-power-cord" TargetMode="External"/><Relationship Id="rId2" Type="http://schemas.openxmlformats.org/officeDocument/2006/relationships/hyperlink" Target="https://cdn.shopify.com/s/files/1/0613/1168/0689/products/XP5015GC001HERO_61edccfe-e76b-4232-a425-88a91b172321.png?v=1749582783" TargetMode="External"/><Relationship Id="rId3" Type="http://schemas.openxmlformats.org/officeDocument/2006/relationships/hyperlink" Target="https://www.duromaxpower.com/products/duromax-xp5025gc-25-foot-6-gauge-50-amp-generator-power-cord" TargetMode="External"/><Relationship Id="rId4" Type="http://schemas.openxmlformats.org/officeDocument/2006/relationships/hyperlink" Target="https://cdn.shopify.com/s/files/1/0613/1168/0689/products/XP5025GC001HERO_2af7ba1d-5e89-4bcd-947d-f293dcbe23b9.png?v=1749582785" TargetMode="External"/><Relationship Id="rId5" Type="http://schemas.openxmlformats.org/officeDocument/2006/relationships/hyperlink" Target="https://www.duromaxpower.com/products/duromax-xp5050gc-50-foot-6-gauge-50-amp-generator-power-cord" TargetMode="External"/><Relationship Id="rId6" Type="http://schemas.openxmlformats.org/officeDocument/2006/relationships/hyperlink" Target="https://cdn.shopify.com/s/files/1/0613/1168/0689/products/XP5050GC001HERO_84e520e4-e76f-46e7-bb76-410e8b9d90e2.png?v=1749582781" TargetMode="External"/><Relationship Id="rId7" Type="http://schemas.openxmlformats.org/officeDocument/2006/relationships/hyperlink" Target="https://www.duromaxpower.com/products/duromax-xp3010gc-30-amp-10-foot-10-gauge-l14-30-heavy-duty-generator-power-cord-home-power-backup-black" TargetMode="External"/><Relationship Id="rId8" Type="http://schemas.openxmlformats.org/officeDocument/2006/relationships/hyperlink" Target="https://cdn.shopify.com/s/files/1/0613/1168/0689/products/XP3010GC001HERO_a316916a-23d2-46fa-b4a6-01a0e5f8df21.png?v=1749582818" TargetMode="External"/><Relationship Id="rId9" Type="http://schemas.openxmlformats.org/officeDocument/2006/relationships/hyperlink" Target="https://www.duromaxpower.com/products/duromax-xp3025gc-25-foot-10-gauge-30-amp-generator-power-cord" TargetMode="External"/><Relationship Id="rId10" Type="http://schemas.openxmlformats.org/officeDocument/2006/relationships/hyperlink" Target="https://cdn.shopify.com/s/files/1/0613/1168/0689/products/XP3025GC001HERO_f3e2451c-7cbb-4584-bf50-5369e18866f8.png?v=1749582817" TargetMode="External"/><Relationship Id="rId11" Type="http://schemas.openxmlformats.org/officeDocument/2006/relationships/hyperlink" Target="https://www.duromaxpower.com/products/duromax-xp3050gc-50-foot-10-gauge-30-amp-generator-power-cord" TargetMode="External"/><Relationship Id="rId12" Type="http://schemas.openxmlformats.org/officeDocument/2006/relationships/hyperlink" Target="https://cdn.shopify.com/s/files/1/0613/1168/0689/products/XP3050GC001HERO_14b396fc-c309-4341-b4dd-2c8602a8abb1.png?v=1749582815" TargetMode="External"/><Relationship Id="rId13" Type="http://schemas.openxmlformats.org/officeDocument/2006/relationships/hyperlink" Target="https://www.duromaxpower.com/products/duromax-xp3030rv-42646-30-to-30-amp-rv-adapter-for-all-standard-30a-rvs" TargetMode="External"/><Relationship Id="rId14" Type="http://schemas.openxmlformats.org/officeDocument/2006/relationships/hyperlink" Target="https://cdn.shopify.com/s/files/1/0613/1168/0689/products/XP3030RV__1.jpg?v=1749582816" TargetMode="External"/><Relationship Id="rId15" Type="http://schemas.openxmlformats.org/officeDocument/2006/relationships/hyperlink" Target="https://www.duromaxpower.com/products/reliance-ac1522-15a-125v-color-connect-adapter-cord-5-15-plug-l5-20-connector" TargetMode="External"/><Relationship Id="rId16" Type="http://schemas.openxmlformats.org/officeDocument/2006/relationships/hyperlink" Target="https://cdn.shopify.com/s/files/1/0613/1168/0689/files/AC1522_1.jpg?v=1749582573" TargetMode="External"/><Relationship Id="rId17" Type="http://schemas.openxmlformats.org/officeDocument/2006/relationships/hyperlink" Target="https://www.duromaxpower.com/products/reliance-ac1531-15a-125v-color-connect-adapter-cord-5-15-plug-l5-30-connector" TargetMode="External"/><Relationship Id="rId18" Type="http://schemas.openxmlformats.org/officeDocument/2006/relationships/hyperlink" Target="https://cdn.shopify.com/s/files/1/0613/1168/0689/files/AC1531_1.jpg?v=1749582572" TargetMode="External"/><Relationship Id="rId19" Type="http://schemas.openxmlformats.org/officeDocument/2006/relationships/hyperlink" Target="https://www.duromaxpower.com/products/reliance-ac30rv-30a-125v-color-connect-adapter-cord-l14-30-plug-tt30-connector" TargetMode="External"/><Relationship Id="rId20" Type="http://schemas.openxmlformats.org/officeDocument/2006/relationships/hyperlink" Target="https://cdn.shopify.com/s/files/1/0613/1168/0689/files/AC30RV_1.jpg?v=1749582572" TargetMode="External"/><Relationship Id="rId21" Type="http://schemas.openxmlformats.org/officeDocument/2006/relationships/hyperlink" Target="https://www.duromaxpower.com/products/reliance-ac3130-30a-125v-color-connect-adapter-cord-l5-30-plug-l14-30-connector-1" TargetMode="External"/><Relationship Id="rId22" Type="http://schemas.openxmlformats.org/officeDocument/2006/relationships/hyperlink" Target="https://cdn.shopify.com/s/files/1/0613/1168/0689/files/AC3130CC_1.jpg?v=1749582396" TargetMode="External"/><Relationship Id="rId23" Type="http://schemas.openxmlformats.org/officeDocument/2006/relationships/hyperlink" Target="https://www.duromaxpower.com/products/reliance-ac52rv-30a-125v-color-connect-adapter-cord-14-50-plug-tt-30-connector" TargetMode="External"/><Relationship Id="rId24" Type="http://schemas.openxmlformats.org/officeDocument/2006/relationships/hyperlink" Target="https://cdn.shopify.com/s/files/1/0613/1168/0689/files/AC52RV_1.jpg?v=1749582571" TargetMode="External"/><Relationship Id="rId25" Type="http://schemas.openxmlformats.org/officeDocument/2006/relationships/hyperlink" Target="https://www.duromaxpower.com/products/reliance-ac3130-30a-125v-color-connect-adapter-cord-l5-30-plug-l14-30-connector" TargetMode="External"/><Relationship Id="rId26" Type="http://schemas.openxmlformats.org/officeDocument/2006/relationships/hyperlink" Target="https://cdn.shopify.com/s/files/1/0613/1168/0689/files/AC3130_1.jpg?v=1749582571" TargetMode="External"/><Relationship Id="rId27" Type="http://schemas.openxmlformats.org/officeDocument/2006/relationships/hyperlink" Target="https://www.duromaxpower.com/products/reliance-acrv22-20a-125v-color-connect-adapter-cord-tt-30-plug-l5-20-connector" TargetMode="External"/><Relationship Id="rId28" Type="http://schemas.openxmlformats.org/officeDocument/2006/relationships/hyperlink" Target="https://cdn.shopify.com/s/files/1/0613/1168/0689/files/ACRV22_1.jpg?v=1749582570" TargetMode="External"/><Relationship Id="rId29" Type="http://schemas.openxmlformats.org/officeDocument/2006/relationships/hyperlink" Target="https://www.duromaxpower.com/products/reliance-acrv52-30a-125v-color-connect-adapter-cord-tt-30-plug-14-50-connector" TargetMode="External"/><Relationship Id="rId30" Type="http://schemas.openxmlformats.org/officeDocument/2006/relationships/hyperlink" Target="https://cdn.shopify.com/s/files/1/0613/1168/0689/files/ACRV52_1.jpg?v=1749582569" TargetMode="External"/><Relationship Id="rId31" Type="http://schemas.openxmlformats.org/officeDocument/2006/relationships/hyperlink" Target="https://www.duromaxpower.com/products/reliance-ap15rv-15a-125v-color-connect-adapter-cord-5-15-plug-tt-30-connector" TargetMode="External"/><Relationship Id="rId32" Type="http://schemas.openxmlformats.org/officeDocument/2006/relationships/hyperlink" Target="https://cdn.shopify.com/s/files/1/0613/1168/0689/files/AP15RV_1.jpg?v=1749582569" TargetMode="External"/><Relationship Id="rId33" Type="http://schemas.openxmlformats.org/officeDocument/2006/relationships/hyperlink" Target="https://www.duromaxpower.com/products/reliance-ap31rv-30a-125v-color-connect-adapter-cord-l5-30-plug-tt-30-connector" TargetMode="External"/><Relationship Id="rId34" Type="http://schemas.openxmlformats.org/officeDocument/2006/relationships/hyperlink" Target="https://cdn.shopify.com/s/files/1/0613/1168/0689/files/AP31RV_1.jpg?v=1749582568" TargetMode="External"/><Relationship Id="rId35" Type="http://schemas.openxmlformats.org/officeDocument/2006/relationships/hyperlink" Target="https://www.duromaxpower.com/products/reliance-l1420p-20-amp-generator-power-cord-plug-for-up-to-5000-watt-generators" TargetMode="External"/><Relationship Id="rId36" Type="http://schemas.openxmlformats.org/officeDocument/2006/relationships/hyperlink" Target="https://cdn.shopify.com/s/files/1/0613/1168/0689/files/L1420P__1.jpg?v=1749582618" TargetMode="External"/><Relationship Id="rId37" Type="http://schemas.openxmlformats.org/officeDocument/2006/relationships/hyperlink" Target="https://www.duromaxpower.com/products/reliance-l1430p-30-amp-generator-power-cord-plug-for-up-to-7500-watt-generators" TargetMode="External"/><Relationship Id="rId38" Type="http://schemas.openxmlformats.org/officeDocument/2006/relationships/hyperlink" Target="https://cdn.shopify.com/s/files/1/0613/1168/0689/files/L1430P__1.jpg?v=1749582614" TargetMode="External"/><Relationship Id="rId39" Type="http://schemas.openxmlformats.org/officeDocument/2006/relationships/hyperlink" Target="https://www.duromaxpower.com/products/reliance-l1430c-30-amp-generator-power-cord-connector-for-up-to-7500w-generators" TargetMode="External"/><Relationship Id="rId40" Type="http://schemas.openxmlformats.org/officeDocument/2006/relationships/hyperlink" Target="https://cdn.shopify.com/s/files/1/0613/1168/0689/files/L1430C__1.jpg?v=1749582616" TargetMode="External"/><Relationship Id="rId41" Type="http://schemas.openxmlformats.org/officeDocument/2006/relationships/hyperlink" Target="https://www.duromaxpower.com/products/reliance-1450p-50-amp-generator-power-cord-connector-up-to-12000-watt" TargetMode="External"/><Relationship Id="rId42" Type="http://schemas.openxmlformats.org/officeDocument/2006/relationships/hyperlink" Target="https://cdn.shopify.com/s/files/1/0613/1168/0689/files/1450P__1.jpg?v=1749582620" TargetMode="External"/><Relationship Id="rId43" Type="http://schemas.openxmlformats.org/officeDocument/2006/relationships/hyperlink" Target="https://www.duromaxpower.com/products/reliance-ll550c-12-000-watt-50-amp-generator-power-cord-plug" TargetMode="External"/><Relationship Id="rId44" Type="http://schemas.openxmlformats.org/officeDocument/2006/relationships/hyperlink" Target="https://cdn.shopify.com/s/files/1/0613/1168/0689/files/LL550C__1.jpg?v=1749582617" TargetMode="External"/><Relationship Id="rId45" Type="http://schemas.openxmlformats.org/officeDocument/2006/relationships/hyperlink" Target="https://www.duromaxpower.com/products/reliance-pc3020k-20-foot-20-30-amp-outdoor-power-cord-kit" TargetMode="External"/><Relationship Id="rId46" Type="http://schemas.openxmlformats.org/officeDocument/2006/relationships/hyperlink" Target="https://cdn.shopify.com/s/files/1/0613/1168/0689/files/PC3020K_1.jpg?v=1749582619" TargetMode="External"/><Relationship Id="rId47" Type="http://schemas.openxmlformats.org/officeDocument/2006/relationships/hyperlink" Target="https://www.duromaxpower.com/products/reliance-pc3040-40-foot-30-amp-120-240-volt-power-cord" TargetMode="External"/><Relationship Id="rId48" Type="http://schemas.openxmlformats.org/officeDocument/2006/relationships/hyperlink" Target="https://cdn.shopify.com/s/files/1/0613/1168/0689/files/PC3040_1.jpg?v=1749582612" TargetMode="External"/><Relationship Id="rId49" Type="http://schemas.openxmlformats.org/officeDocument/2006/relationships/hyperlink" Target="https://www.duromaxpower.com/products/reliance-pc3050-50-foot-30-amp-4-prong-generator-power-cord" TargetMode="External"/><Relationship Id="rId50" Type="http://schemas.openxmlformats.org/officeDocument/2006/relationships/hyperlink" Target="https://cdn.shopify.com/s/files/1/0613/1168/0689/files/PC3050__1.jpg?v=1749582616" TargetMode="External"/><Relationship Id="rId51" Type="http://schemas.openxmlformats.org/officeDocument/2006/relationships/hyperlink" Target="https://www.duromaxpower.com/products/reliance-pc3110m-10-30-amp-120v-3-prong-generator-power-cord-w-molded-ends" TargetMode="External"/><Relationship Id="rId52" Type="http://schemas.openxmlformats.org/officeDocument/2006/relationships/hyperlink" Target="https://cdn.shopify.com/s/files/1/0613/1168/0689/files/PC3110M_1.jpg?v=1749582567" TargetMode="External"/><Relationship Id="rId53" Type="http://schemas.openxmlformats.org/officeDocument/2006/relationships/hyperlink" Target="https://www.duromaxpower.com/products/reliance-pc3120-20-foot-30-amp-generator-power-cord" TargetMode="External"/><Relationship Id="rId54" Type="http://schemas.openxmlformats.org/officeDocument/2006/relationships/hyperlink" Target="https://cdn.shopify.com/s/files/1/0613/1168/0689/files/PC3120__1.jpg?v=1749582620" TargetMode="External"/><Relationship Id="rId55" Type="http://schemas.openxmlformats.org/officeDocument/2006/relationships/hyperlink" Target="https://www.duromaxpower.com/products/reliance-pc5020-14-20-foot-50-amp-generator-power-cord" TargetMode="External"/><Relationship Id="rId56" Type="http://schemas.openxmlformats.org/officeDocument/2006/relationships/hyperlink" Target="https://cdn.shopify.com/s/files/1/0613/1168/0689/files/PC5020-14_1.jpg?v=1749582614" TargetMode="External"/><Relationship Id="rId57" Type="http://schemas.openxmlformats.org/officeDocument/2006/relationships/hyperlink" Target="https://www.duromaxpower.com/products/reliance-pc5025-14m-25-foot-50-amp-generator-power-cord" TargetMode="External"/><Relationship Id="rId58" Type="http://schemas.openxmlformats.org/officeDocument/2006/relationships/hyperlink" Target="https://cdn.shopify.com/s/files/1/0613/1168/0689/files/PC5025-14M_1.jpg?v=1749582578" TargetMode="External"/><Relationship Id="rId59"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hyperlink" Target="https://www.duromaxpower.com/products/airgo-16-32a-ac-soft-starter-motor-protection-for-utility-and-or-generator-power" TargetMode="External"/><Relationship Id="rId2" Type="http://schemas.openxmlformats.org/officeDocument/2006/relationships/hyperlink" Target="https://cdn.shopify.com/s/files/1/0613/1168/0689/files/AGO-AirGo16-32A_1.jpg?v=1749582389" TargetMode="External"/><Relationship Id="rId3" Type="http://schemas.openxmlformats.org/officeDocument/2006/relationships/hyperlink" Target="https://www.duromaxpower.com/products/airgo-8-16a-ac-soft-starter-motor-protection-for-utility-and-or-generator-power" TargetMode="External"/><Relationship Id="rId4" Type="http://schemas.openxmlformats.org/officeDocument/2006/relationships/hyperlink" Target="https://cdn.shopify.com/s/files/1/0613/1168/0689/files/AGO-AirGo8-16A_1.jpg?v=1749582391" TargetMode="External"/><Relationship Id="rId5" Type="http://schemas.openxmlformats.org/officeDocument/2006/relationships/hyperlink" Target="https://www.duromaxpower.com/products/airgo-ec-32a-soft-start-controller-replacement-for-well-pumps" TargetMode="External"/><Relationship Id="rId6" Type="http://schemas.openxmlformats.org/officeDocument/2006/relationships/hyperlink" Target="https://cdn.shopify.com/s/files/1/0613/1168/0689/files/AIRGO-EC-Complete-Kit-32A_01.png?v=1783525473" TargetMode="External"/><Relationship Id="rId7" Type="http://schemas.openxmlformats.org/officeDocument/2006/relationships/hyperlink" Target="https://www.duromaxpower.com/products/airgo-g3-16-32a-soft-start-controller-for-hvac-systems-up-to-7-ton" TargetMode="External"/><Relationship Id="rId8" Type="http://schemas.openxmlformats.org/officeDocument/2006/relationships/hyperlink" Target="https://cdn.shopify.com/s/files/1/0613/1168/0689/files/AIRGO-G3-16-32_01.png?v=1783525257" TargetMode="External"/><Relationship Id="rId9" Type="http://schemas.openxmlformats.org/officeDocument/2006/relationships/hyperlink" Target="https://www.duromaxpower.com/products/airgo-g3-8-16a-soft-start-controller-for-hvac-systems-up-to-3-ton" TargetMode="External"/><Relationship Id="rId10" Type="http://schemas.openxmlformats.org/officeDocument/2006/relationships/hyperlink" Target="https://cdn.shopify.com/s/files/1/0613/1168/0689/files/AIRGO-G3-8-16_01.png?v=1783525055" TargetMode="External"/><Relationship Id="rId11" Type="http://schemas.openxmlformats.org/officeDocument/2006/relationships/hyperlink" Target="https://www.duromaxpower.com/products/airgo-nc37a-no-capacitor-dynamic-drive-controller" TargetMode="External"/><Relationship Id="rId12" Type="http://schemas.openxmlformats.org/officeDocument/2006/relationships/hyperlink" Target="https://cdn.shopify.com/s/files/1/0613/1168/0689/files/AIRGO-NC37_01.png?v=1783525601" TargetMode="External"/><Relationship Id="rId13" Type="http://schemas.openxmlformats.org/officeDocument/2006/relationships/hyperlink" Target="https://www.duromaxpower.com/products/airgo-ss-25a-solid-state-soft-start-controller" TargetMode="External"/><Relationship Id="rId14" Type="http://schemas.openxmlformats.org/officeDocument/2006/relationships/hyperlink" Target="https://cdn.shopify.com/s/files/1/0613/1168/0689/files/AIRGO-SS25_01.png?v=1783525729" TargetMode="External"/><Relationship Id="rId15" Type="http://schemas.openxmlformats.org/officeDocument/2006/relationships/hyperlink" Target="https://www.duromaxpower.com/products/cargo-40a-level-2-ev-charger-for-electric-vehicles" TargetMode="External"/><Relationship Id="rId16" Type="http://schemas.openxmlformats.org/officeDocument/2006/relationships/hyperlink" Target="https://cdn.shopify.com/s/files/1/0613/1168/0689/files/CARGO-40A_01.png?v=1783525905" TargetMode="External"/><Relationship Id="rId17"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row>
    <row r="5" customFormat="false" ht="15" hidden="false" customHeight="false" outlineLevel="0" collapsed="false">
      <c r="A5" s="3" t="s">
        <v>3</v>
      </c>
    </row>
    <row r="6" customFormat="false" ht="23.8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t="s">
        <v>9</v>
      </c>
    </row>
    <row r="12" customFormat="false" ht="23.85" hidden="false" customHeight="false" outlineLevel="0" collapsed="false">
      <c r="A12" s="2" t="s">
        <v>10</v>
      </c>
    </row>
    <row r="13" customFormat="false" ht="15" hidden="false" customHeight="false" outlineLevel="0" collapsed="false">
      <c r="A13" s="2" t="s">
        <v>11</v>
      </c>
    </row>
    <row r="14" customFormat="false" ht="15" hidden="false" customHeight="false" outlineLevel="0" collapsed="false">
      <c r="A14" s="2" t="s">
        <v>12</v>
      </c>
    </row>
    <row r="15" customFormat="false" ht="15" hidden="false" customHeight="false" outlineLevel="0" collapsed="false">
      <c r="A15" s="2"/>
    </row>
    <row r="16" customFormat="false" ht="15" hidden="false" customHeight="false" outlineLevel="0" collapsed="false">
      <c r="A16" s="3" t="s">
        <v>13</v>
      </c>
    </row>
    <row r="17" customFormat="false" ht="15" hidden="false" customHeight="false" outlineLevel="0" collapsed="false">
      <c r="A17" s="2" t="s">
        <v>14</v>
      </c>
    </row>
    <row r="18" customFormat="false" ht="23.8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A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44"/>
    <col collapsed="false" customWidth="true" hidden="false" outlineLevel="0" max="4" min="4" style="0" width="20"/>
    <col collapsed="false" customWidth="true" hidden="false" outlineLevel="0" max="5" min="5" style="0" width="11"/>
    <col collapsed="false" customWidth="true" hidden="false" outlineLevel="0" max="6" min="6" style="0" width="6"/>
    <col collapsed="false" customWidth="true" hidden="false" outlineLevel="0" max="7" min="7" style="0" width="11"/>
    <col collapsed="false" customWidth="true" hidden="false" outlineLevel="0" max="8" min="8" style="0" width="18"/>
    <col collapsed="false" customWidth="true" hidden="false" outlineLevel="0" max="9" min="9" style="0" width="15"/>
    <col collapsed="false" customWidth="true" hidden="false" outlineLevel="0" max="11" min="10" style="0" width="10"/>
    <col collapsed="false" customWidth="true" hidden="false" outlineLevel="0" max="13" min="12" style="0" width="8"/>
    <col collapsed="false" customWidth="true" hidden="false" outlineLevel="0" max="17" min="14" style="0" width="10"/>
    <col collapsed="false" customWidth="true" hidden="false" outlineLevel="0" max="19" min="18" style="0" width="8"/>
    <col collapsed="false" customWidth="true" hidden="false" outlineLevel="0" max="21" min="20" style="0" width="10"/>
    <col collapsed="false" customWidth="true" hidden="false" outlineLevel="0" max="22" min="22" style="0" width="11"/>
    <col collapsed="false" customWidth="true" hidden="false" outlineLevel="0" max="24" min="23" style="0" width="10"/>
    <col collapsed="false" customWidth="true" hidden="false" outlineLevel="0" max="26" min="25" style="0" width="8"/>
    <col collapsed="false" customWidth="true" hidden="false" outlineLevel="0" max="27" min="27" style="0" width="10"/>
    <col collapsed="false" customWidth="true" hidden="false" outlineLevel="0" max="28" min="28" style="0" width="11"/>
    <col collapsed="false" customWidth="true" hidden="false" outlineLevel="0" max="31" min="29" style="0" width="7"/>
    <col collapsed="false" customWidth="true" hidden="false" outlineLevel="0" max="32" min="32" style="0" width="8"/>
    <col collapsed="false" customWidth="true" hidden="false" outlineLevel="0" max="33" min="33" style="0" width="7"/>
    <col collapsed="false" customWidth="true" hidden="false" outlineLevel="0" max="34" min="34" style="0" width="6"/>
    <col collapsed="false" customWidth="true" hidden="false" outlineLevel="0" max="35" min="35" style="0" width="7"/>
    <col collapsed="false" customWidth="true" hidden="false" outlineLevel="0" max="36" min="36" style="0" width="6"/>
    <col collapsed="false" customWidth="true" hidden="false" outlineLevel="0" max="37" min="37" style="0" width="15"/>
    <col collapsed="false" customWidth="true" hidden="false" outlineLevel="0" max="38" min="38" style="0" width="10"/>
    <col collapsed="false" customWidth="true" hidden="false" outlineLevel="0" max="41" min="39" style="0" width="11"/>
    <col collapsed="false" customWidth="true" hidden="false" outlineLevel="0" max="42" min="42" style="0" width="28"/>
    <col collapsed="false" customWidth="true" hidden="false" outlineLevel="0" max="43" min="43" style="0" width="34"/>
    <col collapsed="false" customWidth="true" hidden="false" outlineLevel="0" max="44" min="44" style="0" width="40"/>
    <col collapsed="false" customWidth="true" hidden="false" outlineLevel="0" max="45" min="45" style="0" width="30"/>
    <col collapsed="false" customWidth="true" hidden="false" outlineLevel="0" max="47" min="46" style="0" width="11"/>
    <col collapsed="false" customWidth="true" hidden="false" outlineLevel="0" max="48" min="48" style="0" width="44"/>
    <col collapsed="false" customWidth="true" hidden="false" outlineLevel="0" max="49" min="49" style="0" width="26"/>
    <col collapsed="false" customWidth="true" hidden="false" outlineLevel="0" max="51" min="50" style="0" width="40"/>
    <col collapsed="false" customWidth="true" hidden="false" outlineLevel="0" max="52" min="52" style="0" width="16"/>
    <col collapsed="false" customWidth="true" hidden="false" outlineLevel="0" max="53" min="53" style="0" width="7"/>
    <col collapsed="false" customWidth="true" hidden="false" outlineLevel="0" max="54" min="54" style="0" width="9"/>
    <col collapsed="false" customWidth="true" hidden="false" outlineLevel="0" max="55" min="55" style="0" width="26"/>
    <col collapsed="false" customWidth="true" hidden="false" outlineLevel="0" max="56" min="56" style="0" width="8"/>
    <col collapsed="false" customWidth="true" hidden="false" outlineLevel="0" max="57" min="57" style="0" width="10"/>
    <col collapsed="false" customWidth="true" hidden="false" outlineLevel="0" max="58" min="58" style="0" width="8"/>
    <col collapsed="false" customWidth="true" hidden="false" outlineLevel="0" max="59" min="59" style="0" width="9"/>
    <col collapsed="false" customWidth="true" hidden="false" outlineLevel="0" max="61" min="60" style="0" width="6"/>
    <col collapsed="false" customWidth="true" hidden="false" outlineLevel="0" max="62" min="62" style="0" width="10"/>
    <col collapsed="false" customWidth="true" hidden="false" outlineLevel="0" max="63" min="63" style="0" width="6"/>
    <col collapsed="false" customWidth="true" hidden="false" outlineLevel="0" max="64" min="64" style="0" width="7"/>
    <col collapsed="false" customWidth="true" hidden="false" outlineLevel="0" max="65" min="65" style="0" width="6"/>
    <col collapsed="false" customWidth="true" hidden="false" outlineLevel="0" max="66" min="66" style="0" width="16"/>
    <col collapsed="false" customWidth="true" hidden="false" outlineLevel="0" max="67" min="67" style="0" width="8"/>
    <col collapsed="false" customWidth="true" hidden="false" outlineLevel="0" max="68" min="68" style="0" width="22"/>
    <col collapsed="false" customWidth="true" hidden="false" outlineLevel="0" max="70" min="69" style="0" width="9"/>
    <col collapsed="false" customWidth="true" hidden="false" outlineLevel="0" max="71" min="71" style="0" width="8"/>
    <col collapsed="false" customWidth="true" hidden="false" outlineLevel="0" max="72" min="72" style="0" width="12"/>
    <col collapsed="false" customWidth="true" hidden="false" outlineLevel="0" max="73" min="73" style="0" width="8"/>
    <col collapsed="false" customWidth="true" hidden="false" outlineLevel="0" max="74" min="74" style="0" width="11"/>
    <col collapsed="false" customWidth="true" hidden="false" outlineLevel="0" max="75" min="75" style="0" width="10"/>
    <col collapsed="false" customWidth="true" hidden="false" outlineLevel="0" max="78" min="76" style="0" width="50"/>
    <col collapsed="false" customWidth="true" hidden="false" outlineLevel="0" max="79" min="79" style="0" width="80"/>
  </cols>
  <sheetData>
    <row r="1" customFormat="false" ht="15" hidden="false" customHeight="false" outlineLevel="0" collapsed="false">
      <c r="A1" s="4" t="s">
        <v>18</v>
      </c>
      <c r="B1" s="4"/>
      <c r="C1" s="4"/>
      <c r="D1" s="4"/>
      <c r="E1" s="4"/>
      <c r="F1" s="4"/>
      <c r="G1" s="4"/>
      <c r="H1" s="4"/>
      <c r="I1" s="4"/>
      <c r="J1" s="5" t="s">
        <v>19</v>
      </c>
      <c r="K1" s="5"/>
      <c r="L1" s="5"/>
      <c r="M1" s="5"/>
      <c r="N1" s="5"/>
      <c r="O1" s="5"/>
      <c r="P1" s="6" t="s">
        <v>20</v>
      </c>
      <c r="Q1" s="6"/>
      <c r="R1" s="6"/>
      <c r="S1" s="6"/>
      <c r="T1" s="6"/>
      <c r="U1" s="6"/>
      <c r="V1" s="6"/>
      <c r="W1" s="7" t="s">
        <v>21</v>
      </c>
      <c r="X1" s="7"/>
      <c r="Y1" s="7"/>
      <c r="Z1" s="7"/>
      <c r="AA1" s="7"/>
      <c r="AB1" s="7"/>
      <c r="AC1" s="8" t="s">
        <v>22</v>
      </c>
      <c r="AD1" s="8"/>
      <c r="AE1" s="8"/>
      <c r="AF1" s="8"/>
      <c r="AG1" s="8"/>
      <c r="AH1" s="8"/>
      <c r="AI1" s="8"/>
      <c r="AJ1" s="8"/>
      <c r="AK1" s="9" t="s">
        <v>23</v>
      </c>
      <c r="AL1" s="9"/>
      <c r="AM1" s="9"/>
      <c r="AN1" s="9"/>
      <c r="AO1" s="9"/>
      <c r="AP1" s="9"/>
      <c r="AQ1" s="9"/>
      <c r="AR1" s="9"/>
      <c r="AS1" s="9"/>
      <c r="AT1" s="10" t="s">
        <v>24</v>
      </c>
      <c r="AU1" s="10"/>
      <c r="AV1" s="10"/>
      <c r="AW1" s="10"/>
      <c r="AX1" s="10"/>
      <c r="AY1" s="10"/>
      <c r="AZ1" s="11" t="s">
        <v>25</v>
      </c>
      <c r="BA1" s="11"/>
      <c r="BB1" s="11"/>
      <c r="BC1" s="11"/>
      <c r="BD1" s="11"/>
      <c r="BE1" s="11"/>
      <c r="BF1" s="11"/>
      <c r="BG1" s="11"/>
      <c r="BH1" s="11"/>
      <c r="BI1" s="11"/>
      <c r="BJ1" s="12" t="s">
        <v>26</v>
      </c>
      <c r="BK1" s="12"/>
      <c r="BL1" s="12"/>
      <c r="BM1" s="12"/>
      <c r="BN1" s="12"/>
      <c r="BO1" s="12"/>
      <c r="BP1" s="12"/>
      <c r="BQ1" s="12"/>
      <c r="BR1" s="12"/>
      <c r="BS1" s="12"/>
      <c r="BT1" s="12"/>
      <c r="BU1" s="13" t="s">
        <v>27</v>
      </c>
      <c r="BV1" s="13"/>
      <c r="BW1" s="13"/>
      <c r="BX1" s="14" t="s">
        <v>28</v>
      </c>
      <c r="BY1" s="14"/>
      <c r="BZ1" s="14"/>
      <c r="CA1" s="14"/>
    </row>
    <row r="2" customFormat="false" ht="31.5" hidden="false" customHeight="true" outlineLevel="0" collapsed="false">
      <c r="A2" s="15" t="s">
        <v>29</v>
      </c>
      <c r="B2" s="15" t="s">
        <v>30</v>
      </c>
      <c r="C2" s="15" t="s">
        <v>31</v>
      </c>
      <c r="D2" s="15" t="s">
        <v>32</v>
      </c>
      <c r="E2" s="15" t="s">
        <v>33</v>
      </c>
      <c r="F2" s="15" t="s">
        <v>34</v>
      </c>
      <c r="G2" s="15" t="s">
        <v>35</v>
      </c>
      <c r="H2" s="15" t="s">
        <v>36</v>
      </c>
      <c r="I2" s="15" t="s">
        <v>37</v>
      </c>
      <c r="J2" s="15" t="s">
        <v>38</v>
      </c>
      <c r="K2" s="15" t="s">
        <v>39</v>
      </c>
      <c r="L2" s="15" t="s">
        <v>40</v>
      </c>
      <c r="M2" s="15" t="s">
        <v>41</v>
      </c>
      <c r="N2" s="15" t="s">
        <v>42</v>
      </c>
      <c r="O2" s="15" t="s">
        <v>43</v>
      </c>
      <c r="P2" s="15" t="s">
        <v>38</v>
      </c>
      <c r="Q2" s="15" t="s">
        <v>39</v>
      </c>
      <c r="R2" s="15" t="s">
        <v>40</v>
      </c>
      <c r="S2" s="15" t="s">
        <v>41</v>
      </c>
      <c r="T2" s="15" t="s">
        <v>42</v>
      </c>
      <c r="U2" s="15" t="s">
        <v>43</v>
      </c>
      <c r="V2" s="15" t="s">
        <v>44</v>
      </c>
      <c r="W2" s="15" t="s">
        <v>38</v>
      </c>
      <c r="X2" s="15" t="s">
        <v>39</v>
      </c>
      <c r="Y2" s="15" t="s">
        <v>40</v>
      </c>
      <c r="Z2" s="15" t="s">
        <v>41</v>
      </c>
      <c r="AA2" s="15" t="s">
        <v>45</v>
      </c>
      <c r="AB2" s="15" t="s">
        <v>46</v>
      </c>
      <c r="AC2" s="15" t="s">
        <v>47</v>
      </c>
      <c r="AD2" s="15" t="s">
        <v>48</v>
      </c>
      <c r="AE2" s="15" t="s">
        <v>49</v>
      </c>
      <c r="AF2" s="15" t="s">
        <v>50</v>
      </c>
      <c r="AG2" s="15" t="s">
        <v>51</v>
      </c>
      <c r="AH2" s="15" t="s">
        <v>52</v>
      </c>
      <c r="AI2" s="15" t="s">
        <v>53</v>
      </c>
      <c r="AJ2" s="15" t="s">
        <v>54</v>
      </c>
      <c r="AK2" s="15" t="s">
        <v>55</v>
      </c>
      <c r="AL2" s="15" t="s">
        <v>56</v>
      </c>
      <c r="AM2" s="15" t="s">
        <v>57</v>
      </c>
      <c r="AN2" s="15" t="s">
        <v>58</v>
      </c>
      <c r="AO2" s="15" t="s">
        <v>59</v>
      </c>
      <c r="AP2" s="15" t="s">
        <v>60</v>
      </c>
      <c r="AQ2" s="15" t="s">
        <v>61</v>
      </c>
      <c r="AR2" s="15" t="s">
        <v>62</v>
      </c>
      <c r="AS2" s="15" t="s">
        <v>63</v>
      </c>
      <c r="AT2" s="15" t="s">
        <v>64</v>
      </c>
      <c r="AU2" s="15" t="s">
        <v>65</v>
      </c>
      <c r="AV2" s="15" t="s">
        <v>66</v>
      </c>
      <c r="AW2" s="15" t="s">
        <v>67</v>
      </c>
      <c r="AX2" s="15" t="s">
        <v>68</v>
      </c>
      <c r="AY2" s="15" t="s">
        <v>69</v>
      </c>
      <c r="AZ2" s="15" t="s">
        <v>70</v>
      </c>
      <c r="BA2" s="15" t="s">
        <v>71</v>
      </c>
      <c r="BB2" s="15" t="s">
        <v>72</v>
      </c>
      <c r="BC2" s="15" t="s">
        <v>73</v>
      </c>
      <c r="BD2" s="15" t="s">
        <v>74</v>
      </c>
      <c r="BE2" s="15" t="s">
        <v>75</v>
      </c>
      <c r="BF2" s="15" t="s">
        <v>76</v>
      </c>
      <c r="BG2" s="15" t="s">
        <v>77</v>
      </c>
      <c r="BH2" s="15" t="s">
        <v>78</v>
      </c>
      <c r="BI2" s="15" t="s">
        <v>79</v>
      </c>
      <c r="BJ2" s="15" t="s">
        <v>80</v>
      </c>
      <c r="BK2" s="15" t="s">
        <v>81</v>
      </c>
      <c r="BL2" s="15" t="s">
        <v>82</v>
      </c>
      <c r="BM2" s="15" t="s">
        <v>83</v>
      </c>
      <c r="BN2" s="15" t="s">
        <v>84</v>
      </c>
      <c r="BO2" s="15" t="s">
        <v>85</v>
      </c>
      <c r="BP2" s="15" t="s">
        <v>86</v>
      </c>
      <c r="BQ2" s="15" t="s">
        <v>87</v>
      </c>
      <c r="BR2" s="15" t="s">
        <v>88</v>
      </c>
      <c r="BS2" s="15" t="s">
        <v>89</v>
      </c>
      <c r="BT2" s="15" t="s">
        <v>90</v>
      </c>
      <c r="BU2" s="15" t="s">
        <v>91</v>
      </c>
      <c r="BV2" s="15" t="s">
        <v>92</v>
      </c>
      <c r="BW2" s="15" t="s">
        <v>93</v>
      </c>
      <c r="BX2" s="15" t="s">
        <v>94</v>
      </c>
      <c r="BY2" s="15" t="s">
        <v>95</v>
      </c>
      <c r="BZ2" s="15" t="s">
        <v>96</v>
      </c>
      <c r="CA2" s="15" t="s">
        <v>97</v>
      </c>
    </row>
    <row r="3" customFormat="false" ht="42" hidden="false" customHeight="true" outlineLevel="0" collapsed="false">
      <c r="A3" s="16" t="s">
        <v>98</v>
      </c>
      <c r="B3" s="17" t="s">
        <v>99</v>
      </c>
      <c r="C3" s="18" t="s">
        <v>100</v>
      </c>
      <c r="D3" s="16" t="s">
        <v>101</v>
      </c>
      <c r="E3" s="16" t="s">
        <v>102</v>
      </c>
      <c r="F3" s="16" t="s">
        <v>103</v>
      </c>
      <c r="G3" s="19" t="n">
        <v>549</v>
      </c>
      <c r="H3" s="16" t="s">
        <v>104</v>
      </c>
      <c r="I3" s="16" t="s">
        <v>105</v>
      </c>
      <c r="J3" s="20" t="n">
        <v>4850</v>
      </c>
      <c r="K3" s="20" t="n">
        <v>3850</v>
      </c>
      <c r="L3" s="21" t="n">
        <v>32.08</v>
      </c>
      <c r="M3" s="21" t="n">
        <v>16.04</v>
      </c>
      <c r="N3" s="22" t="n">
        <v>23</v>
      </c>
      <c r="O3" s="22" t="n">
        <v>10</v>
      </c>
      <c r="P3" s="20" t="n">
        <v>4608</v>
      </c>
      <c r="Q3" s="20" t="n">
        <v>3658</v>
      </c>
      <c r="R3" s="21" t="n">
        <v>30.48</v>
      </c>
      <c r="S3" s="21" t="n">
        <v>15.24</v>
      </c>
      <c r="T3" s="22" t="n">
        <v>18</v>
      </c>
      <c r="U3" s="22" t="n">
        <v>9</v>
      </c>
      <c r="V3" s="16"/>
      <c r="W3" s="20"/>
      <c r="X3" s="20"/>
      <c r="Y3" s="21"/>
      <c r="Z3" s="21"/>
      <c r="AA3" s="16"/>
      <c r="AB3" s="20"/>
      <c r="AC3" s="16" t="n">
        <v>2</v>
      </c>
      <c r="AD3" s="16" t="n">
        <v>0</v>
      </c>
      <c r="AE3" s="16" t="n">
        <v>0</v>
      </c>
      <c r="AF3" s="16" t="n">
        <v>1</v>
      </c>
      <c r="AG3" s="16" t="n">
        <v>0</v>
      </c>
      <c r="AH3" s="16" t="n">
        <v>0</v>
      </c>
      <c r="AI3" s="16" t="n">
        <v>1</v>
      </c>
      <c r="AJ3" s="16" t="s">
        <v>105</v>
      </c>
      <c r="AK3" s="23" t="str">
        <f aca="false">IF(N(AG3)&gt;0,"14-50R (50A)",IF(N(AF3)&gt;0,"L14-30R (30A)","None - 120V only"))</f>
        <v>L14-30R (30A)</v>
      </c>
      <c r="AL3" s="24" t="n">
        <f aca="false">INDEX(Compatibility!$C$2:$C$5,MATCH(AK3,Compatibility!$A$2:$A$5,0))</f>
        <v>7200</v>
      </c>
      <c r="AM3" s="24" t="n">
        <f aca="false">IF(ISNUMBER(K3),MIN(K3,AL3),"")</f>
        <v>3850</v>
      </c>
      <c r="AN3" s="24" t="n">
        <f aca="false">IF(ISNUMBER(Q3),MIN(Q3,AL3),"")</f>
        <v>3658</v>
      </c>
      <c r="AO3" s="24" t="str">
        <f aca="false">IF(ISNUMBER(X3),MIN(X3,AL3),"")</f>
        <v/>
      </c>
      <c r="AP3" s="25" t="str">
        <f aca="false">INDEX(Compatibility!$D$2:$D$5,MATCH(AK3,Compatibility!$A$2:$A$5,0))</f>
        <v>PB30, PBN30 (30A L14-30 inlet)</v>
      </c>
      <c r="AQ3" s="25" t="str">
        <f aca="false">INDEX(Compatibility!$E$2:$E$5,MATCH(AK3,Compatibility!$A$2:$A$5,0))</f>
        <v>XP3010GC, XP3025GC, XP3050GC, PC3040 (L14-30P to L14-30R)</v>
      </c>
      <c r="AR3" s="25" t="str">
        <f aca="false">INDEX(Compatibility!$F$2:$F$5,MATCH(AK3,Compatibility!$A$2:$A$5,0))</f>
        <v>30A / 6 circuit: 306A, R306A (outdoor), 306C, 306D, 306CRK (kit); 30A / 10 circuit: 310C, 310D, 310CRK (kit), R310A (outdoor), 310CDKN (kit)</v>
      </c>
      <c r="AS3" s="25" t="str">
        <f aca="false">INDEX(Compatibility!$G$2:$G$5,MATCH(AK3,Compatibility!$A$2:$A$5,0))</f>
        <v>30A 2-pole backfeed breaker (panel brand) + GenInterlock kit for panel</v>
      </c>
      <c r="AT3" s="16" t="s">
        <v>106</v>
      </c>
      <c r="AU3" s="16" t="s">
        <v>103</v>
      </c>
      <c r="AV3" s="25" t="str">
        <f aca="false">IF(I3&lt;&gt;"Yes","120V only - extension cords / furnace switch",IF(AT3="Floating","Floating neutral: standard 2-pole transfer switch or interlock kit as-is",IF(AT3="Bonded",IF(AU3="Yes","Bonded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Floating neutral: standard 2-pole transfer switch or interlock kit as-is</v>
      </c>
      <c r="AW3" s="18" t="s">
        <v>107</v>
      </c>
      <c r="AX3" s="26" t="s">
        <v>108</v>
      </c>
      <c r="AY3" s="16"/>
      <c r="AZ3" s="16" t="s">
        <v>109</v>
      </c>
      <c r="BA3" s="16" t="n">
        <v>210</v>
      </c>
      <c r="BB3" s="16" t="n">
        <v>3600</v>
      </c>
      <c r="BC3" s="16" t="s">
        <v>110</v>
      </c>
      <c r="BD3" s="16"/>
      <c r="BE3" s="16" t="s">
        <v>111</v>
      </c>
      <c r="BF3" s="16" t="n">
        <v>20.3</v>
      </c>
      <c r="BG3" s="16"/>
      <c r="BH3" s="16" t="s">
        <v>105</v>
      </c>
      <c r="BI3" s="16" t="s">
        <v>103</v>
      </c>
      <c r="BJ3" s="16" t="s">
        <v>112</v>
      </c>
      <c r="BK3" s="16" t="n">
        <v>60</v>
      </c>
      <c r="BL3" s="16"/>
      <c r="BM3" s="16" t="s">
        <v>105</v>
      </c>
      <c r="BN3" s="16" t="s">
        <v>113</v>
      </c>
      <c r="BO3" s="22" t="n">
        <v>4</v>
      </c>
      <c r="BP3" s="16" t="s">
        <v>114</v>
      </c>
      <c r="BQ3" s="16" t="n">
        <v>122</v>
      </c>
      <c r="BR3" s="16" t="n">
        <v>132</v>
      </c>
      <c r="BS3" s="16" t="n">
        <v>69</v>
      </c>
      <c r="BT3" s="16" t="s">
        <v>115</v>
      </c>
      <c r="BU3" s="16"/>
      <c r="BV3" s="16"/>
      <c r="BW3" s="16"/>
      <c r="BX3" s="18" t="s">
        <v>116</v>
      </c>
      <c r="BY3" s="26" t="s">
        <v>117</v>
      </c>
      <c r="BZ3" s="26" t="s">
        <v>118</v>
      </c>
      <c r="CA3" s="18" t="s">
        <v>119</v>
      </c>
    </row>
    <row r="4" customFormat="false" ht="42" hidden="false" customHeight="true" outlineLevel="0" collapsed="false">
      <c r="A4" s="16" t="s">
        <v>98</v>
      </c>
      <c r="B4" s="17" t="s">
        <v>120</v>
      </c>
      <c r="C4" s="18" t="s">
        <v>121</v>
      </c>
      <c r="D4" s="16" t="s">
        <v>101</v>
      </c>
      <c r="E4" s="16" t="s">
        <v>102</v>
      </c>
      <c r="F4" s="16" t="s">
        <v>103</v>
      </c>
      <c r="G4" s="19" t="n">
        <v>629</v>
      </c>
      <c r="H4" s="16" t="s">
        <v>122</v>
      </c>
      <c r="I4" s="16" t="s">
        <v>105</v>
      </c>
      <c r="J4" s="20" t="n">
        <v>5500</v>
      </c>
      <c r="K4" s="20" t="n">
        <v>4500</v>
      </c>
      <c r="L4" s="21" t="n">
        <v>37.5</v>
      </c>
      <c r="M4" s="21" t="n">
        <v>18.75</v>
      </c>
      <c r="N4" s="22" t="n">
        <v>19</v>
      </c>
      <c r="O4" s="22" t="n">
        <v>9</v>
      </c>
      <c r="P4" s="20" t="n">
        <v>5225</v>
      </c>
      <c r="Q4" s="20" t="n">
        <v>4275</v>
      </c>
      <c r="R4" s="21" t="n">
        <v>35.63</v>
      </c>
      <c r="S4" s="21" t="n">
        <v>17.81</v>
      </c>
      <c r="T4" s="22" t="n">
        <v>15</v>
      </c>
      <c r="U4" s="22" t="n">
        <v>8</v>
      </c>
      <c r="V4" s="16"/>
      <c r="W4" s="20"/>
      <c r="X4" s="20"/>
      <c r="Y4" s="21"/>
      <c r="Z4" s="21"/>
      <c r="AA4" s="16"/>
      <c r="AB4" s="20"/>
      <c r="AC4" s="16" t="n">
        <v>2</v>
      </c>
      <c r="AD4" s="16" t="n">
        <v>0</v>
      </c>
      <c r="AE4" s="16" t="n">
        <v>0</v>
      </c>
      <c r="AF4" s="16" t="n">
        <v>1</v>
      </c>
      <c r="AG4" s="16" t="n">
        <v>0</v>
      </c>
      <c r="AH4" s="16" t="n">
        <v>2</v>
      </c>
      <c r="AI4" s="16" t="n">
        <v>0</v>
      </c>
      <c r="AJ4" s="16" t="s">
        <v>105</v>
      </c>
      <c r="AK4" s="23" t="str">
        <f aca="false">IF(N(AG4)&gt;0,"14-50R (50A)",IF(N(AF4)&gt;0,"L14-30R (30A)","None - 120V only"))</f>
        <v>L14-30R (30A)</v>
      </c>
      <c r="AL4" s="24" t="n">
        <f aca="false">INDEX(Compatibility!$C$2:$C$5,MATCH(AK4,Compatibility!$A$2:$A$5,0))</f>
        <v>7200</v>
      </c>
      <c r="AM4" s="24" t="n">
        <f aca="false">IF(ISNUMBER(K4),MIN(K4,AL4),"")</f>
        <v>4500</v>
      </c>
      <c r="AN4" s="24" t="n">
        <f aca="false">IF(ISNUMBER(Q4),MIN(Q4,AL4),"")</f>
        <v>4275</v>
      </c>
      <c r="AO4" s="24" t="str">
        <f aca="false">IF(ISNUMBER(X4),MIN(X4,AL4),"")</f>
        <v/>
      </c>
      <c r="AP4" s="25" t="str">
        <f aca="false">INDEX(Compatibility!$D$2:$D$5,MATCH(AK4,Compatibility!$A$2:$A$5,0))</f>
        <v>PB30, PBN30 (30A L14-30 inlet)</v>
      </c>
      <c r="AQ4" s="25" t="str">
        <f aca="false">INDEX(Compatibility!$E$2:$E$5,MATCH(AK4,Compatibility!$A$2:$A$5,0))</f>
        <v>XP3010GC, XP3025GC, XP3050GC, PC3040 (L14-30P to L14-30R)</v>
      </c>
      <c r="AR4" s="25" t="str">
        <f aca="false">INDEX(Compatibility!$F$2:$F$5,MATCH(AK4,Compatibility!$A$2:$A$5,0))</f>
        <v>30A / 6 circuit: 306A, R306A (outdoor), 306C, 306D, 306CRK (kit); 30A / 10 circuit: 310C, 310D, 310CRK (kit), R310A (outdoor), 310CDKN (kit)</v>
      </c>
      <c r="AS4" s="25" t="str">
        <f aca="false">INDEX(Compatibility!$G$2:$G$5,MATCH(AK4,Compatibility!$A$2:$A$5,0))</f>
        <v>30A 2-pole backfeed breaker (panel brand) + GenInterlock kit for panel</v>
      </c>
      <c r="AT4" s="16" t="s">
        <v>106</v>
      </c>
      <c r="AU4" s="16" t="s">
        <v>103</v>
      </c>
      <c r="AV4" s="25" t="str">
        <f aca="false">IF(I4&lt;&gt;"Yes","120V only - extension cords / furnace switch",IF(AT4="Floating","Floating neutral: standard 2-pole transfer switch or interlock kit as-is",IF(AT4="Bonded",IF(AU4="Yes","Bonded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Floating neutral: standard 2-pole transfer switch or interlock kit as-is</v>
      </c>
      <c r="AW4" s="18" t="s">
        <v>123</v>
      </c>
      <c r="AX4" s="26" t="s">
        <v>124</v>
      </c>
      <c r="AY4" s="16"/>
      <c r="AZ4" s="16" t="s">
        <v>109</v>
      </c>
      <c r="BA4" s="16" t="n">
        <v>210</v>
      </c>
      <c r="BB4" s="16" t="n">
        <v>3600</v>
      </c>
      <c r="BC4" s="16" t="s">
        <v>125</v>
      </c>
      <c r="BD4" s="16" t="s">
        <v>105</v>
      </c>
      <c r="BE4" s="16" t="s">
        <v>111</v>
      </c>
      <c r="BF4" s="16" t="n">
        <v>20.3</v>
      </c>
      <c r="BG4" s="16" t="s">
        <v>105</v>
      </c>
      <c r="BH4" s="16" t="s">
        <v>105</v>
      </c>
      <c r="BI4" s="16" t="s">
        <v>103</v>
      </c>
      <c r="BJ4" s="16" t="s">
        <v>112</v>
      </c>
      <c r="BK4" s="16" t="n">
        <v>60</v>
      </c>
      <c r="BL4" s="16"/>
      <c r="BM4" s="16" t="s">
        <v>105</v>
      </c>
      <c r="BN4" s="16" t="s">
        <v>113</v>
      </c>
      <c r="BO4" s="22" t="n">
        <v>4</v>
      </c>
      <c r="BP4" s="16" t="s">
        <v>126</v>
      </c>
      <c r="BQ4" s="16" t="n">
        <v>128</v>
      </c>
      <c r="BR4" s="16" t="n">
        <v>131</v>
      </c>
      <c r="BS4" s="16" t="n">
        <v>69</v>
      </c>
      <c r="BT4" s="16" t="s">
        <v>127</v>
      </c>
      <c r="BU4" s="16"/>
      <c r="BV4" s="16"/>
      <c r="BW4" s="16"/>
      <c r="BX4" s="18" t="s">
        <v>128</v>
      </c>
      <c r="BY4" s="26" t="s">
        <v>129</v>
      </c>
      <c r="BZ4" s="26" t="s">
        <v>130</v>
      </c>
      <c r="CA4" s="18" t="s">
        <v>131</v>
      </c>
    </row>
    <row r="5" customFormat="false" ht="42" hidden="false" customHeight="true" outlineLevel="0" collapsed="false">
      <c r="A5" s="16" t="s">
        <v>98</v>
      </c>
      <c r="B5" s="17" t="s">
        <v>132</v>
      </c>
      <c r="C5" s="18" t="s">
        <v>133</v>
      </c>
      <c r="D5" s="16" t="s">
        <v>101</v>
      </c>
      <c r="E5" s="16" t="s">
        <v>19</v>
      </c>
      <c r="F5" s="16" t="s">
        <v>103</v>
      </c>
      <c r="G5" s="19" t="n">
        <v>799</v>
      </c>
      <c r="H5" s="16" t="s">
        <v>134</v>
      </c>
      <c r="I5" s="16" t="s">
        <v>105</v>
      </c>
      <c r="J5" s="20" t="n">
        <v>10000</v>
      </c>
      <c r="K5" s="20" t="n">
        <v>8500</v>
      </c>
      <c r="L5" s="21" t="n">
        <v>70.83</v>
      </c>
      <c r="M5" s="21" t="n">
        <v>35.42</v>
      </c>
      <c r="N5" s="22" t="n">
        <v>22</v>
      </c>
      <c r="O5" s="22" t="n">
        <v>10</v>
      </c>
      <c r="P5" s="20"/>
      <c r="Q5" s="20"/>
      <c r="R5" s="21"/>
      <c r="S5" s="21"/>
      <c r="T5" s="22"/>
      <c r="U5" s="22"/>
      <c r="V5" s="16"/>
      <c r="W5" s="20"/>
      <c r="X5" s="20"/>
      <c r="Y5" s="21"/>
      <c r="Z5" s="21"/>
      <c r="AA5" s="16"/>
      <c r="AB5" s="20"/>
      <c r="AC5" s="16" t="n">
        <v>4</v>
      </c>
      <c r="AD5" s="16" t="n">
        <v>1</v>
      </c>
      <c r="AE5" s="16" t="n">
        <v>0</v>
      </c>
      <c r="AF5" s="16" t="n">
        <v>1</v>
      </c>
      <c r="AG5" s="16" t="n">
        <v>1</v>
      </c>
      <c r="AH5" s="16" t="n">
        <v>0</v>
      </c>
      <c r="AI5" s="16" t="n">
        <v>0</v>
      </c>
      <c r="AJ5" s="16" t="s">
        <v>105</v>
      </c>
      <c r="AK5" s="23" t="str">
        <f aca="false">IF(N(AG5)&gt;0,"14-50R (50A)",IF(N(AF5)&gt;0,"L14-30R (30A)","None - 120V only"))</f>
        <v>14-50R (50A)</v>
      </c>
      <c r="AL5" s="24" t="n">
        <f aca="false">INDEX(Compatibility!$C$2:$C$5,MATCH(AK5,Compatibility!$A$2:$A$5,0))</f>
        <v>12000</v>
      </c>
      <c r="AM5" s="24" t="n">
        <f aca="false">IF(ISNUMBER(K5),MIN(K5,AL5),"")</f>
        <v>8500</v>
      </c>
      <c r="AN5" s="24" t="str">
        <f aca="false">IF(ISNUMBER(Q5),MIN(Q5,AL5),"")</f>
        <v/>
      </c>
      <c r="AO5" s="24" t="str">
        <f aca="false">IF(ISNUMBER(X5),MIN(X5,AL5),"")</f>
        <v/>
      </c>
      <c r="AP5" s="25" t="str">
        <f aca="false">INDEX(Compatibility!$D$2:$D$5,MATCH(AK5,Compatibility!$A$2:$A$5,0))</f>
        <v>XP50PB, XP50PBN, PB50, PBN50 (50A CS6375 inlet)</v>
      </c>
      <c r="AQ5" s="25" t="str">
        <f aca="false">INDEX(Compatibility!$E$2:$E$5,MATCH(AK5,Compatibility!$A$2:$A$5,0))</f>
        <v>XP5015GC, XP5025GC, XP5050GC, PC5020-14, PC5025-14M (14-50P to CS6364)</v>
      </c>
      <c r="AR5" s="25" t="str">
        <f aca="false">INDEX(Compatibility!$F$2:$F$5,MATCH(AK5,Compatibility!$A$2:$A$5,0))</f>
        <v>50A / 10 circuit: R510A (outdoor), A510C, 510C, 510D; 50A / 6 circuit: 506C</v>
      </c>
      <c r="AS5" s="25" t="str">
        <f aca="false">INDEX(Compatibility!$G$2:$G$5,MATCH(AK5,Compatibility!$A$2:$A$5,0))</f>
        <v>50A 2-pole backfeed breaker (panel brand) + GenInterlock kit for panel</v>
      </c>
      <c r="AT5" s="16" t="s">
        <v>106</v>
      </c>
      <c r="AU5" s="16" t="s">
        <v>103</v>
      </c>
      <c r="AV5" s="25" t="str">
        <f aca="false">IF(I5&lt;&gt;"Yes","120V only - extension cords / furnace switch",IF(AT5="Floating","Floating neutral: standard 2-pole transfer switch or interlock kit as-is",IF(AT5="Bonded",IF(AU5="Yes","Bonded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Floating neutral: standard 2-pole transfer switch or interlock kit as-is</v>
      </c>
      <c r="AW5" s="18" t="s">
        <v>135</v>
      </c>
      <c r="AX5" s="26" t="s">
        <v>136</v>
      </c>
      <c r="AY5" s="16"/>
      <c r="AZ5" s="16" t="s">
        <v>109</v>
      </c>
      <c r="BA5" s="16" t="n">
        <v>420</v>
      </c>
      <c r="BB5" s="16" t="n">
        <v>3600</v>
      </c>
      <c r="BC5" s="16" t="s">
        <v>110</v>
      </c>
      <c r="BD5" s="16"/>
      <c r="BE5" s="16" t="s">
        <v>111</v>
      </c>
      <c r="BF5" s="16" t="n">
        <v>37.2</v>
      </c>
      <c r="BG5" s="16" t="s">
        <v>105</v>
      </c>
      <c r="BH5" s="16" t="s">
        <v>105</v>
      </c>
      <c r="BI5" s="16" t="s">
        <v>103</v>
      </c>
      <c r="BJ5" s="16" t="s">
        <v>112</v>
      </c>
      <c r="BK5" s="16" t="n">
        <v>60</v>
      </c>
      <c r="BL5" s="16"/>
      <c r="BM5" s="16" t="s">
        <v>105</v>
      </c>
      <c r="BN5" s="16" t="s">
        <v>113</v>
      </c>
      <c r="BO5" s="22" t="n">
        <v>8.3</v>
      </c>
      <c r="BP5" s="16" t="s">
        <v>137</v>
      </c>
      <c r="BQ5" s="16" t="n">
        <v>220</v>
      </c>
      <c r="BR5" s="16" t="n">
        <v>228</v>
      </c>
      <c r="BS5" s="16" t="n">
        <v>72</v>
      </c>
      <c r="BT5" s="16" t="s">
        <v>127</v>
      </c>
      <c r="BU5" s="16"/>
      <c r="BV5" s="16" t="s">
        <v>105</v>
      </c>
      <c r="BW5" s="16"/>
      <c r="BX5" s="18" t="s">
        <v>138</v>
      </c>
      <c r="BY5" s="26" t="s">
        <v>139</v>
      </c>
      <c r="BZ5" s="26" t="s">
        <v>140</v>
      </c>
      <c r="CA5" s="18" t="s">
        <v>141</v>
      </c>
    </row>
    <row r="6" customFormat="false" ht="42" hidden="false" customHeight="true" outlineLevel="0" collapsed="false">
      <c r="A6" s="16" t="s">
        <v>98</v>
      </c>
      <c r="B6" s="17" t="s">
        <v>142</v>
      </c>
      <c r="C6" s="18" t="s">
        <v>143</v>
      </c>
      <c r="D6" s="16" t="s">
        <v>101</v>
      </c>
      <c r="E6" s="16" t="s">
        <v>102</v>
      </c>
      <c r="F6" s="16" t="s">
        <v>103</v>
      </c>
      <c r="G6" s="19" t="n">
        <v>1299</v>
      </c>
      <c r="H6" s="16" t="s">
        <v>104</v>
      </c>
      <c r="I6" s="16" t="s">
        <v>105</v>
      </c>
      <c r="J6" s="20" t="n">
        <v>11500</v>
      </c>
      <c r="K6" s="20" t="n">
        <v>9000</v>
      </c>
      <c r="L6" s="21" t="n">
        <v>75</v>
      </c>
      <c r="M6" s="21" t="n">
        <v>37.5</v>
      </c>
      <c r="N6" s="22" t="n">
        <v>20</v>
      </c>
      <c r="O6" s="22" t="n">
        <v>8</v>
      </c>
      <c r="P6" s="20" t="n">
        <v>10925</v>
      </c>
      <c r="Q6" s="20" t="n">
        <v>8550</v>
      </c>
      <c r="R6" s="21" t="n">
        <v>71.25</v>
      </c>
      <c r="S6" s="21" t="n">
        <v>45.52</v>
      </c>
      <c r="T6" s="22" t="n">
        <v>15</v>
      </c>
      <c r="U6" s="22" t="n">
        <v>6</v>
      </c>
      <c r="V6" s="16"/>
      <c r="W6" s="20"/>
      <c r="X6" s="20"/>
      <c r="Y6" s="21"/>
      <c r="Z6" s="21"/>
      <c r="AA6" s="16"/>
      <c r="AB6" s="20"/>
      <c r="AC6" s="16" t="n">
        <v>2</v>
      </c>
      <c r="AD6" s="16" t="n">
        <v>1</v>
      </c>
      <c r="AE6" s="16" t="n">
        <v>0</v>
      </c>
      <c r="AF6" s="16" t="n">
        <v>1</v>
      </c>
      <c r="AG6" s="16" t="n">
        <v>1</v>
      </c>
      <c r="AH6" s="16" t="n">
        <v>0</v>
      </c>
      <c r="AI6" s="16"/>
      <c r="AJ6" s="16" t="s">
        <v>105</v>
      </c>
      <c r="AK6" s="23" t="str">
        <f aca="false">IF(N(AG6)&gt;0,"14-50R (50A)",IF(N(AF6)&gt;0,"L14-30R (30A)","None - 120V only"))</f>
        <v>14-50R (50A)</v>
      </c>
      <c r="AL6" s="24" t="n">
        <f aca="false">INDEX(Compatibility!$C$2:$C$5,MATCH(AK6,Compatibility!$A$2:$A$5,0))</f>
        <v>12000</v>
      </c>
      <c r="AM6" s="24" t="n">
        <f aca="false">IF(ISNUMBER(K6),MIN(K6,AL6),"")</f>
        <v>9000</v>
      </c>
      <c r="AN6" s="24" t="n">
        <f aca="false">IF(ISNUMBER(Q6),MIN(Q6,AL6),"")</f>
        <v>8550</v>
      </c>
      <c r="AO6" s="24" t="str">
        <f aca="false">IF(ISNUMBER(X6),MIN(X6,AL6),"")</f>
        <v/>
      </c>
      <c r="AP6" s="25" t="str">
        <f aca="false">INDEX(Compatibility!$D$2:$D$5,MATCH(AK6,Compatibility!$A$2:$A$5,0))</f>
        <v>XP50PB, XP50PBN, PB50, PBN50 (50A CS6375 inlet)</v>
      </c>
      <c r="AQ6" s="25" t="str">
        <f aca="false">INDEX(Compatibility!$E$2:$E$5,MATCH(AK6,Compatibility!$A$2:$A$5,0))</f>
        <v>XP5015GC, XP5025GC, XP5050GC, PC5020-14, PC5025-14M (14-50P to CS6364)</v>
      </c>
      <c r="AR6" s="25" t="str">
        <f aca="false">INDEX(Compatibility!$F$2:$F$5,MATCH(AK6,Compatibility!$A$2:$A$5,0))</f>
        <v>50A / 10 circuit: R510A (outdoor), A510C, 510C, 510D; 50A / 6 circuit: 506C</v>
      </c>
      <c r="AS6" s="25" t="str">
        <f aca="false">INDEX(Compatibility!$G$2:$G$5,MATCH(AK6,Compatibility!$A$2:$A$5,0))</f>
        <v>50A 2-pole backfeed breaker (panel brand) + GenInterlock kit for panel</v>
      </c>
      <c r="AT6" s="16" t="s">
        <v>106</v>
      </c>
      <c r="AU6" s="16" t="s">
        <v>103</v>
      </c>
      <c r="AV6" s="25" t="str">
        <f aca="false">IF(I6&lt;&gt;"Yes","120V only - extension cords / furnace switch",IF(AT6="Floating","Floating neutral: standard 2-pole transfer switch or interlock kit as-is",IF(AT6="Bonded",IF(AU6="Yes","Bonded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Floating neutral: standard 2-pole transfer switch or interlock kit as-is</v>
      </c>
      <c r="AW6" s="18" t="s">
        <v>107</v>
      </c>
      <c r="AX6" s="26" t="s">
        <v>144</v>
      </c>
      <c r="AY6" s="16"/>
      <c r="AZ6" s="16" t="s">
        <v>109</v>
      </c>
      <c r="BA6" s="16" t="n">
        <v>457</v>
      </c>
      <c r="BB6" s="16" t="n">
        <v>3600</v>
      </c>
      <c r="BC6" s="16" t="s">
        <v>110</v>
      </c>
      <c r="BD6" s="16"/>
      <c r="BE6" s="16" t="s">
        <v>111</v>
      </c>
      <c r="BF6" s="16" t="n">
        <v>40.5</v>
      </c>
      <c r="BG6" s="16"/>
      <c r="BH6" s="16" t="s">
        <v>105</v>
      </c>
      <c r="BI6" s="16"/>
      <c r="BJ6" s="16" t="s">
        <v>112</v>
      </c>
      <c r="BK6" s="16" t="n">
        <v>60</v>
      </c>
      <c r="BL6" s="16"/>
      <c r="BM6" s="16" t="s">
        <v>105</v>
      </c>
      <c r="BN6" s="16" t="s">
        <v>113</v>
      </c>
      <c r="BO6" s="22" t="n">
        <v>8.3</v>
      </c>
      <c r="BP6" s="16" t="s">
        <v>137</v>
      </c>
      <c r="BQ6" s="16" t="n">
        <v>224</v>
      </c>
      <c r="BR6" s="16" t="n">
        <v>238</v>
      </c>
      <c r="BS6" s="16" t="n">
        <v>74</v>
      </c>
      <c r="BT6" s="16" t="s">
        <v>145</v>
      </c>
      <c r="BU6" s="16"/>
      <c r="BV6" s="16"/>
      <c r="BW6" s="16"/>
      <c r="BX6" s="18" t="s">
        <v>116</v>
      </c>
      <c r="BY6" s="26" t="s">
        <v>146</v>
      </c>
      <c r="BZ6" s="26" t="s">
        <v>147</v>
      </c>
      <c r="CA6" s="18" t="s">
        <v>148</v>
      </c>
    </row>
    <row r="7" customFormat="false" ht="42" hidden="false" customHeight="true" outlineLevel="0" collapsed="false">
      <c r="A7" s="16" t="s">
        <v>98</v>
      </c>
      <c r="B7" s="17" t="s">
        <v>149</v>
      </c>
      <c r="C7" s="18" t="s">
        <v>150</v>
      </c>
      <c r="D7" s="16" t="s">
        <v>101</v>
      </c>
      <c r="E7" s="16" t="s">
        <v>151</v>
      </c>
      <c r="F7" s="16" t="s">
        <v>103</v>
      </c>
      <c r="G7" s="19" t="n">
        <v>1499</v>
      </c>
      <c r="H7" s="16" t="s">
        <v>122</v>
      </c>
      <c r="I7" s="16" t="s">
        <v>105</v>
      </c>
      <c r="J7" s="20" t="n">
        <v>13000</v>
      </c>
      <c r="K7" s="20" t="n">
        <v>10500</v>
      </c>
      <c r="L7" s="21" t="n">
        <v>87.5</v>
      </c>
      <c r="M7" s="21" t="n">
        <v>43.75</v>
      </c>
      <c r="N7" s="22" t="n">
        <v>17</v>
      </c>
      <c r="O7" s="22" t="n">
        <v>8.5</v>
      </c>
      <c r="P7" s="20" t="n">
        <v>12500</v>
      </c>
      <c r="Q7" s="20" t="n">
        <v>10000</v>
      </c>
      <c r="R7" s="21" t="n">
        <v>79.16</v>
      </c>
      <c r="S7" s="21" t="n">
        <v>39.58</v>
      </c>
      <c r="T7" s="22" t="n">
        <v>13</v>
      </c>
      <c r="U7" s="22" t="n">
        <v>6.5</v>
      </c>
      <c r="V7" s="16"/>
      <c r="W7" s="20" t="n">
        <v>11250</v>
      </c>
      <c r="X7" s="20" t="n">
        <v>9000</v>
      </c>
      <c r="Y7" s="21" t="n">
        <v>70.83</v>
      </c>
      <c r="Z7" s="21" t="n">
        <v>35.42</v>
      </c>
      <c r="AA7" s="16" t="s">
        <v>152</v>
      </c>
      <c r="AB7" s="20" t="n">
        <v>225000</v>
      </c>
      <c r="AC7" s="16" t="n">
        <v>4</v>
      </c>
      <c r="AD7" s="16" t="n">
        <v>1</v>
      </c>
      <c r="AE7" s="16" t="n">
        <v>0</v>
      </c>
      <c r="AF7" s="16" t="n">
        <v>1</v>
      </c>
      <c r="AG7" s="16" t="n">
        <v>1</v>
      </c>
      <c r="AH7" s="16" t="n">
        <v>0</v>
      </c>
      <c r="AI7" s="16" t="n">
        <v>0</v>
      </c>
      <c r="AJ7" s="16" t="s">
        <v>105</v>
      </c>
      <c r="AK7" s="23" t="str">
        <f aca="false">IF(N(AG7)&gt;0,"14-50R (50A)",IF(N(AF7)&gt;0,"L14-30R (30A)","None - 120V only"))</f>
        <v>14-50R (50A)</v>
      </c>
      <c r="AL7" s="24" t="n">
        <f aca="false">INDEX(Compatibility!$C$2:$C$5,MATCH(AK7,Compatibility!$A$2:$A$5,0))</f>
        <v>12000</v>
      </c>
      <c r="AM7" s="24" t="n">
        <f aca="false">IF(ISNUMBER(K7),MIN(K7,AL7),"")</f>
        <v>10500</v>
      </c>
      <c r="AN7" s="24" t="n">
        <f aca="false">IF(ISNUMBER(Q7),MIN(Q7,AL7),"")</f>
        <v>10000</v>
      </c>
      <c r="AO7" s="24" t="n">
        <f aca="false">IF(ISNUMBER(X7),MIN(X7,AL7),"")</f>
        <v>9000</v>
      </c>
      <c r="AP7" s="25" t="str">
        <f aca="false">INDEX(Compatibility!$D$2:$D$5,MATCH(AK7,Compatibility!$A$2:$A$5,0))</f>
        <v>XP50PB, XP50PBN, PB50, PBN50 (50A CS6375 inlet)</v>
      </c>
      <c r="AQ7" s="25" t="str">
        <f aca="false">INDEX(Compatibility!$E$2:$E$5,MATCH(AK7,Compatibility!$A$2:$A$5,0))</f>
        <v>XP5015GC, XP5025GC, XP5050GC, PC5020-14, PC5025-14M (14-50P to CS6364)</v>
      </c>
      <c r="AR7" s="25" t="str">
        <f aca="false">INDEX(Compatibility!$F$2:$F$5,MATCH(AK7,Compatibility!$A$2:$A$5,0))</f>
        <v>50A / 10 circuit: R510A (outdoor), A510C, 510C, 510D; 50A / 6 circuit: 506C</v>
      </c>
      <c r="AS7" s="25" t="str">
        <f aca="false">INDEX(Compatibility!$G$2:$G$5,MATCH(AK7,Compatibility!$A$2:$A$5,0))</f>
        <v>50A 2-pole backfeed breaker (panel brand) + GenInterlock kit for panel</v>
      </c>
      <c r="AT7" s="16" t="s">
        <v>106</v>
      </c>
      <c r="AU7" s="16" t="s">
        <v>103</v>
      </c>
      <c r="AV7" s="25" t="str">
        <f aca="false">IF(I7&lt;&gt;"Yes","120V only - extension cords / furnace switch",IF(AT7="Floating","Floating neutral: standard 2-pole transfer switch or interlock kit as-is",IF(AT7="Bonded",IF(AU7="Yes","Bonded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Floating neutral: standard 2-pole transfer switch or interlock kit as-is</v>
      </c>
      <c r="AW7" s="18" t="s">
        <v>153</v>
      </c>
      <c r="AX7" s="26" t="s">
        <v>154</v>
      </c>
      <c r="AY7" s="16"/>
      <c r="AZ7" s="16" t="s">
        <v>109</v>
      </c>
      <c r="BA7" s="16" t="n">
        <v>500</v>
      </c>
      <c r="BB7" s="16" t="n">
        <v>3600</v>
      </c>
      <c r="BC7" s="16" t="s">
        <v>155</v>
      </c>
      <c r="BD7" s="16" t="s">
        <v>105</v>
      </c>
      <c r="BE7" s="16" t="s">
        <v>111</v>
      </c>
      <c r="BF7" s="16" t="n">
        <v>40.5</v>
      </c>
      <c r="BG7" s="16" t="s">
        <v>105</v>
      </c>
      <c r="BH7" s="16" t="s">
        <v>105</v>
      </c>
      <c r="BI7" s="16" t="s">
        <v>103</v>
      </c>
      <c r="BJ7" s="16" t="s">
        <v>112</v>
      </c>
      <c r="BK7" s="16" t="n">
        <v>60</v>
      </c>
      <c r="BL7" s="16" t="s">
        <v>156</v>
      </c>
      <c r="BM7" s="16" t="s">
        <v>105</v>
      </c>
      <c r="BN7" s="16" t="s">
        <v>113</v>
      </c>
      <c r="BO7" s="22" t="n">
        <v>8.3</v>
      </c>
      <c r="BP7" s="16" t="s">
        <v>157</v>
      </c>
      <c r="BQ7" s="16" t="n">
        <v>240</v>
      </c>
      <c r="BR7" s="16" t="n">
        <v>246</v>
      </c>
      <c r="BS7" s="16" t="n">
        <v>74</v>
      </c>
      <c r="BT7" s="16" t="s">
        <v>158</v>
      </c>
      <c r="BU7" s="16"/>
      <c r="BV7" s="16"/>
      <c r="BW7" s="16"/>
      <c r="BX7" s="18" t="s">
        <v>159</v>
      </c>
      <c r="BY7" s="26" t="s">
        <v>160</v>
      </c>
      <c r="BZ7" s="26" t="s">
        <v>161</v>
      </c>
      <c r="CA7" s="18" t="s">
        <v>162</v>
      </c>
    </row>
    <row r="8" customFormat="false" ht="42" hidden="false" customHeight="true" outlineLevel="0" collapsed="false">
      <c r="A8" s="16" t="s">
        <v>98</v>
      </c>
      <c r="B8" s="17" t="s">
        <v>163</v>
      </c>
      <c r="C8" s="18" t="s">
        <v>164</v>
      </c>
      <c r="D8" s="16" t="s">
        <v>101</v>
      </c>
      <c r="E8" s="16" t="s">
        <v>102</v>
      </c>
      <c r="F8" s="16" t="s">
        <v>103</v>
      </c>
      <c r="G8" s="19" t="n">
        <v>1399</v>
      </c>
      <c r="H8" s="16" t="s">
        <v>122</v>
      </c>
      <c r="I8" s="16" t="s">
        <v>105</v>
      </c>
      <c r="J8" s="20" t="n">
        <v>13000</v>
      </c>
      <c r="K8" s="20" t="n">
        <v>10500</v>
      </c>
      <c r="L8" s="21" t="n">
        <v>87.5</v>
      </c>
      <c r="M8" s="21" t="n">
        <v>43.75</v>
      </c>
      <c r="N8" s="22" t="n">
        <v>17</v>
      </c>
      <c r="O8" s="22" t="n">
        <v>8.5</v>
      </c>
      <c r="P8" s="20" t="n">
        <v>12500</v>
      </c>
      <c r="Q8" s="20" t="n">
        <v>10000</v>
      </c>
      <c r="R8" s="21" t="n">
        <v>83.13</v>
      </c>
      <c r="S8" s="21" t="n">
        <v>41.56</v>
      </c>
      <c r="T8" s="22" t="n">
        <v>13</v>
      </c>
      <c r="U8" s="22" t="n">
        <v>6.5</v>
      </c>
      <c r="V8" s="16"/>
      <c r="W8" s="20"/>
      <c r="X8" s="20"/>
      <c r="Y8" s="21"/>
      <c r="Z8" s="21"/>
      <c r="AA8" s="16"/>
      <c r="AB8" s="20"/>
      <c r="AC8" s="16" t="n">
        <v>4</v>
      </c>
      <c r="AD8" s="16" t="n">
        <v>1</v>
      </c>
      <c r="AE8" s="16" t="n">
        <v>0</v>
      </c>
      <c r="AF8" s="16" t="n">
        <v>1</v>
      </c>
      <c r="AG8" s="16" t="n">
        <v>1</v>
      </c>
      <c r="AH8" s="16" t="n">
        <v>0</v>
      </c>
      <c r="AI8" s="16" t="n">
        <v>0</v>
      </c>
      <c r="AJ8" s="16" t="s">
        <v>105</v>
      </c>
      <c r="AK8" s="23" t="str">
        <f aca="false">IF(N(AG8)&gt;0,"14-50R (50A)",IF(N(AF8)&gt;0,"L14-30R (30A)","None - 120V only"))</f>
        <v>14-50R (50A)</v>
      </c>
      <c r="AL8" s="24" t="n">
        <f aca="false">INDEX(Compatibility!$C$2:$C$5,MATCH(AK8,Compatibility!$A$2:$A$5,0))</f>
        <v>12000</v>
      </c>
      <c r="AM8" s="24" t="n">
        <f aca="false">IF(ISNUMBER(K8),MIN(K8,AL8),"")</f>
        <v>10500</v>
      </c>
      <c r="AN8" s="24" t="n">
        <f aca="false">IF(ISNUMBER(Q8),MIN(Q8,AL8),"")</f>
        <v>10000</v>
      </c>
      <c r="AO8" s="24" t="str">
        <f aca="false">IF(ISNUMBER(X8),MIN(X8,AL8),"")</f>
        <v/>
      </c>
      <c r="AP8" s="25" t="str">
        <f aca="false">INDEX(Compatibility!$D$2:$D$5,MATCH(AK8,Compatibility!$A$2:$A$5,0))</f>
        <v>XP50PB, XP50PBN, PB50, PBN50 (50A CS6375 inlet)</v>
      </c>
      <c r="AQ8" s="25" t="str">
        <f aca="false">INDEX(Compatibility!$E$2:$E$5,MATCH(AK8,Compatibility!$A$2:$A$5,0))</f>
        <v>XP5015GC, XP5025GC, XP5050GC, PC5020-14, PC5025-14M (14-50P to CS6364)</v>
      </c>
      <c r="AR8" s="25" t="str">
        <f aca="false">INDEX(Compatibility!$F$2:$F$5,MATCH(AK8,Compatibility!$A$2:$A$5,0))</f>
        <v>50A / 10 circuit: R510A (outdoor), A510C, 510C, 510D; 50A / 6 circuit: 506C</v>
      </c>
      <c r="AS8" s="25" t="str">
        <f aca="false">INDEX(Compatibility!$G$2:$G$5,MATCH(AK8,Compatibility!$A$2:$A$5,0))</f>
        <v>50A 2-pole backfeed breaker (panel brand) + GenInterlock kit for panel</v>
      </c>
      <c r="AT8" s="16" t="s">
        <v>106</v>
      </c>
      <c r="AU8" s="16" t="s">
        <v>103</v>
      </c>
      <c r="AV8" s="25" t="str">
        <f aca="false">IF(I8&lt;&gt;"Yes","120V only - extension cords / furnace switch",IF(AT8="Floating","Floating neutral: standard 2-pole transfer switch or interlock kit as-is",IF(AT8="Bonded",IF(AU8="Yes","Bonded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Floating neutral: standard 2-pole transfer switch or interlock kit as-is</v>
      </c>
      <c r="AW8" s="18" t="s">
        <v>107</v>
      </c>
      <c r="AX8" s="26" t="s">
        <v>165</v>
      </c>
      <c r="AY8" s="16"/>
      <c r="AZ8" s="16" t="s">
        <v>109</v>
      </c>
      <c r="BA8" s="16" t="n">
        <v>500</v>
      </c>
      <c r="BB8" s="16" t="n">
        <v>3600</v>
      </c>
      <c r="BC8" s="16" t="s">
        <v>155</v>
      </c>
      <c r="BD8" s="16" t="s">
        <v>103</v>
      </c>
      <c r="BE8" s="16" t="s">
        <v>111</v>
      </c>
      <c r="BF8" s="16" t="n">
        <v>40.5</v>
      </c>
      <c r="BG8" s="16" t="s">
        <v>105</v>
      </c>
      <c r="BH8" s="16" t="s">
        <v>105</v>
      </c>
      <c r="BI8" s="16" t="s">
        <v>103</v>
      </c>
      <c r="BJ8" s="16" t="s">
        <v>112</v>
      </c>
      <c r="BK8" s="16" t="n">
        <v>60</v>
      </c>
      <c r="BL8" s="16" t="s">
        <v>156</v>
      </c>
      <c r="BM8" s="16" t="s">
        <v>105</v>
      </c>
      <c r="BN8" s="16" t="s">
        <v>113</v>
      </c>
      <c r="BO8" s="22" t="n">
        <v>8.3</v>
      </c>
      <c r="BP8" s="16" t="s">
        <v>157</v>
      </c>
      <c r="BQ8" s="16" t="n">
        <v>240</v>
      </c>
      <c r="BR8" s="16" t="n">
        <v>246</v>
      </c>
      <c r="BS8" s="16" t="n">
        <v>74</v>
      </c>
      <c r="BT8" s="16" t="s">
        <v>158</v>
      </c>
      <c r="BU8" s="16"/>
      <c r="BV8" s="16"/>
      <c r="BW8" s="16"/>
      <c r="BX8" s="18" t="s">
        <v>166</v>
      </c>
      <c r="BY8" s="26" t="s">
        <v>167</v>
      </c>
      <c r="BZ8" s="26" t="s">
        <v>168</v>
      </c>
      <c r="CA8" s="18" t="s">
        <v>169</v>
      </c>
    </row>
    <row r="9" customFormat="false" ht="42" hidden="false" customHeight="true" outlineLevel="0" collapsed="false">
      <c r="A9" s="16" t="s">
        <v>98</v>
      </c>
      <c r="B9" s="17" t="s">
        <v>170</v>
      </c>
      <c r="C9" s="18" t="s">
        <v>171</v>
      </c>
      <c r="D9" s="16" t="s">
        <v>101</v>
      </c>
      <c r="E9" s="16" t="s">
        <v>102</v>
      </c>
      <c r="F9" s="16" t="s">
        <v>103</v>
      </c>
      <c r="G9" s="19" t="n">
        <v>1299</v>
      </c>
      <c r="H9" s="16" t="s">
        <v>134</v>
      </c>
      <c r="I9" s="16" t="s">
        <v>105</v>
      </c>
      <c r="J9" s="20" t="n">
        <v>13000</v>
      </c>
      <c r="K9" s="20" t="n">
        <v>10500</v>
      </c>
      <c r="L9" s="21" t="n">
        <v>87.5</v>
      </c>
      <c r="M9" s="21" t="n">
        <v>43.75</v>
      </c>
      <c r="N9" s="22" t="n">
        <v>17</v>
      </c>
      <c r="O9" s="22" t="n">
        <v>8</v>
      </c>
      <c r="P9" s="20" t="n">
        <v>12500</v>
      </c>
      <c r="Q9" s="20" t="n">
        <v>10000</v>
      </c>
      <c r="R9" s="21" t="n">
        <v>83.13</v>
      </c>
      <c r="S9" s="21" t="n">
        <v>41.56</v>
      </c>
      <c r="T9" s="22" t="n">
        <v>13</v>
      </c>
      <c r="U9" s="22" t="n">
        <v>6</v>
      </c>
      <c r="V9" s="16"/>
      <c r="W9" s="20"/>
      <c r="X9" s="20"/>
      <c r="Y9" s="21"/>
      <c r="Z9" s="21"/>
      <c r="AA9" s="16"/>
      <c r="AB9" s="20"/>
      <c r="AC9" s="16" t="n">
        <v>2</v>
      </c>
      <c r="AD9" s="16" t="n">
        <v>1</v>
      </c>
      <c r="AE9" s="16" t="n">
        <v>0</v>
      </c>
      <c r="AF9" s="16" t="n">
        <v>1</v>
      </c>
      <c r="AG9" s="16" t="n">
        <v>1</v>
      </c>
      <c r="AH9" s="16" t="n">
        <v>0</v>
      </c>
      <c r="AI9" s="16" t="n">
        <v>1</v>
      </c>
      <c r="AJ9" s="16" t="s">
        <v>105</v>
      </c>
      <c r="AK9" s="23" t="str">
        <f aca="false">IF(N(AG9)&gt;0,"14-50R (50A)",IF(N(AF9)&gt;0,"L14-30R (30A)","None - 120V only"))</f>
        <v>14-50R (50A)</v>
      </c>
      <c r="AL9" s="24" t="n">
        <f aca="false">INDEX(Compatibility!$C$2:$C$5,MATCH(AK9,Compatibility!$A$2:$A$5,0))</f>
        <v>12000</v>
      </c>
      <c r="AM9" s="24" t="n">
        <f aca="false">IF(ISNUMBER(K9),MIN(K9,AL9),"")</f>
        <v>10500</v>
      </c>
      <c r="AN9" s="24" t="n">
        <f aca="false">IF(ISNUMBER(Q9),MIN(Q9,AL9),"")</f>
        <v>10000</v>
      </c>
      <c r="AO9" s="24" t="str">
        <f aca="false">IF(ISNUMBER(X9),MIN(X9,AL9),"")</f>
        <v/>
      </c>
      <c r="AP9" s="25" t="str">
        <f aca="false">INDEX(Compatibility!$D$2:$D$5,MATCH(AK9,Compatibility!$A$2:$A$5,0))</f>
        <v>XP50PB, XP50PBN, PB50, PBN50 (50A CS6375 inlet)</v>
      </c>
      <c r="AQ9" s="25" t="str">
        <f aca="false">INDEX(Compatibility!$E$2:$E$5,MATCH(AK9,Compatibility!$A$2:$A$5,0))</f>
        <v>XP5015GC, XP5025GC, XP5050GC, PC5020-14, PC5025-14M (14-50P to CS6364)</v>
      </c>
      <c r="AR9" s="25" t="str">
        <f aca="false">INDEX(Compatibility!$F$2:$F$5,MATCH(AK9,Compatibility!$A$2:$A$5,0))</f>
        <v>50A / 10 circuit: R510A (outdoor), A510C, 510C, 510D; 50A / 6 circuit: 506C</v>
      </c>
      <c r="AS9" s="25" t="str">
        <f aca="false">INDEX(Compatibility!$G$2:$G$5,MATCH(AK9,Compatibility!$A$2:$A$5,0))</f>
        <v>50A 2-pole backfeed breaker (panel brand) + GenInterlock kit for panel</v>
      </c>
      <c r="AT9" s="16" t="s">
        <v>106</v>
      </c>
      <c r="AU9" s="16" t="s">
        <v>103</v>
      </c>
      <c r="AV9" s="25" t="str">
        <f aca="false">IF(I9&lt;&gt;"Yes","120V only - extension cords / furnace switch",IF(AT9="Floating","Floating neutral: standard 2-pole transfer switch or interlock kit as-is",IF(AT9="Bonded",IF(AU9="Yes","Bonded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Floating neutral: standard 2-pole transfer switch or interlock kit as-is</v>
      </c>
      <c r="AW9" s="18" t="s">
        <v>107</v>
      </c>
      <c r="AX9" s="26" t="s">
        <v>172</v>
      </c>
      <c r="AY9" s="16"/>
      <c r="AZ9" s="16" t="s">
        <v>109</v>
      </c>
      <c r="BA9" s="16" t="n">
        <v>500</v>
      </c>
      <c r="BB9" s="16" t="n">
        <v>3600</v>
      </c>
      <c r="BC9" s="16" t="s">
        <v>173</v>
      </c>
      <c r="BD9" s="16" t="s">
        <v>105</v>
      </c>
      <c r="BE9" s="16" t="s">
        <v>111</v>
      </c>
      <c r="BF9" s="16" t="n">
        <v>40.5</v>
      </c>
      <c r="BG9" s="16" t="s">
        <v>105</v>
      </c>
      <c r="BH9" s="16" t="s">
        <v>105</v>
      </c>
      <c r="BI9" s="16" t="s">
        <v>103</v>
      </c>
      <c r="BJ9" s="16" t="s">
        <v>112</v>
      </c>
      <c r="BK9" s="16" t="n">
        <v>60</v>
      </c>
      <c r="BL9" s="16"/>
      <c r="BM9" s="16" t="s">
        <v>105</v>
      </c>
      <c r="BN9" s="16" t="s">
        <v>113</v>
      </c>
      <c r="BO9" s="22" t="n">
        <v>8.3</v>
      </c>
      <c r="BP9" s="16" t="s">
        <v>137</v>
      </c>
      <c r="BQ9" s="16" t="n">
        <v>234</v>
      </c>
      <c r="BR9" s="16" t="n">
        <v>248</v>
      </c>
      <c r="BS9" s="16" t="n">
        <v>74</v>
      </c>
      <c r="BT9" s="16" t="s">
        <v>145</v>
      </c>
      <c r="BU9" s="16"/>
      <c r="BV9" s="16" t="s">
        <v>105</v>
      </c>
      <c r="BW9" s="16"/>
      <c r="BX9" s="18" t="s">
        <v>174</v>
      </c>
      <c r="BY9" s="26" t="s">
        <v>175</v>
      </c>
      <c r="BZ9" s="26" t="s">
        <v>176</v>
      </c>
      <c r="CA9" s="18" t="s">
        <v>177</v>
      </c>
    </row>
    <row r="10" customFormat="false" ht="42" hidden="false" customHeight="true" outlineLevel="0" collapsed="false">
      <c r="A10" s="16" t="s">
        <v>98</v>
      </c>
      <c r="B10" s="17" t="s">
        <v>178</v>
      </c>
      <c r="C10" s="18" t="s">
        <v>179</v>
      </c>
      <c r="D10" s="16" t="s">
        <v>101</v>
      </c>
      <c r="E10" s="16" t="s">
        <v>151</v>
      </c>
      <c r="F10" s="16" t="s">
        <v>103</v>
      </c>
      <c r="G10" s="19" t="n">
        <v>2599</v>
      </c>
      <c r="H10" s="16" t="s">
        <v>122</v>
      </c>
      <c r="I10" s="16" t="s">
        <v>105</v>
      </c>
      <c r="J10" s="20" t="n">
        <v>15500</v>
      </c>
      <c r="K10" s="20" t="n">
        <v>12000</v>
      </c>
      <c r="L10" s="21" t="n">
        <v>100</v>
      </c>
      <c r="M10" s="21" t="n">
        <v>50</v>
      </c>
      <c r="N10" s="22" t="n">
        <v>15.8</v>
      </c>
      <c r="O10" s="22" t="n">
        <v>10.5</v>
      </c>
      <c r="P10" s="20" t="n">
        <v>14500</v>
      </c>
      <c r="Q10" s="20" t="n">
        <v>11500</v>
      </c>
      <c r="R10" s="21" t="n">
        <v>95.83</v>
      </c>
      <c r="S10" s="21" t="n">
        <v>47.92</v>
      </c>
      <c r="T10" s="22" t="n">
        <v>25.2</v>
      </c>
      <c r="U10" s="22" t="n">
        <v>10.8</v>
      </c>
      <c r="V10" s="16" t="s">
        <v>180</v>
      </c>
      <c r="W10" s="20" t="n">
        <v>13000</v>
      </c>
      <c r="X10" s="20" t="n">
        <v>10500</v>
      </c>
      <c r="Y10" s="21" t="n">
        <v>87.5</v>
      </c>
      <c r="Z10" s="21" t="n">
        <v>43.75</v>
      </c>
      <c r="AA10" s="16" t="s">
        <v>181</v>
      </c>
      <c r="AB10" s="20" t="n">
        <v>278000</v>
      </c>
      <c r="AC10" s="16" t="n">
        <v>4</v>
      </c>
      <c r="AD10" s="16"/>
      <c r="AE10" s="16"/>
      <c r="AF10" s="16" t="n">
        <v>1</v>
      </c>
      <c r="AG10" s="16" t="n">
        <v>2</v>
      </c>
      <c r="AH10" s="16"/>
      <c r="AI10" s="16"/>
      <c r="AJ10" s="16" t="s">
        <v>105</v>
      </c>
      <c r="AK10" s="23" t="str">
        <f aca="false">IF(N(AG10)&gt;0,"14-50R (50A)",IF(N(AF10)&gt;0,"L14-30R (30A)","None - 120V only"))</f>
        <v>14-50R (50A)</v>
      </c>
      <c r="AL10" s="24" t="n">
        <f aca="false">INDEX(Compatibility!$C$2:$C$5,MATCH(AK10,Compatibility!$A$2:$A$5,0))</f>
        <v>12000</v>
      </c>
      <c r="AM10" s="24" t="n">
        <f aca="false">IF(ISNUMBER(K10),MIN(K10,AL10),"")</f>
        <v>12000</v>
      </c>
      <c r="AN10" s="24" t="n">
        <f aca="false">IF(ISNUMBER(Q10),MIN(Q10,AL10),"")</f>
        <v>11500</v>
      </c>
      <c r="AO10" s="24" t="n">
        <f aca="false">IF(ISNUMBER(X10),MIN(X10,AL10),"")</f>
        <v>10500</v>
      </c>
      <c r="AP10" s="25" t="str">
        <f aca="false">INDEX(Compatibility!$D$2:$D$5,MATCH(AK10,Compatibility!$A$2:$A$5,0))</f>
        <v>XP50PB, XP50PBN, PB50, PBN50 (50A CS6375 inlet)</v>
      </c>
      <c r="AQ10" s="25" t="str">
        <f aca="false">INDEX(Compatibility!$E$2:$E$5,MATCH(AK10,Compatibility!$A$2:$A$5,0))</f>
        <v>XP5015GC, XP5025GC, XP5050GC, PC5020-14, PC5025-14M (14-50P to CS6364)</v>
      </c>
      <c r="AR10" s="25" t="str">
        <f aca="false">INDEX(Compatibility!$F$2:$F$5,MATCH(AK10,Compatibility!$A$2:$A$5,0))</f>
        <v>50A / 10 circuit: R510A (outdoor), A510C, 510C, 510D; 50A / 6 circuit: 506C</v>
      </c>
      <c r="AS10" s="25" t="str">
        <f aca="false">INDEX(Compatibility!$G$2:$G$5,MATCH(AK10,Compatibility!$A$2:$A$5,0))</f>
        <v>50A 2-pole backfeed breaker (panel brand) + GenInterlock kit for panel</v>
      </c>
      <c r="AT10" s="16" t="s">
        <v>106</v>
      </c>
      <c r="AU10" s="16" t="s">
        <v>103</v>
      </c>
      <c r="AV10" s="25" t="str">
        <f aca="false">IF(I10&lt;&gt;"Yes","120V only - extension cords / furnace switch",IF(AT10="Floating","Floating neutral: standard 2-pole transfer switch or interlock kit as-is",IF(AT10="Bonded",IF(AU10="Yes","Bonded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Floating neutral: standard 2-pole transfer switch or interlock kit as-is</v>
      </c>
      <c r="AW10" s="18" t="s">
        <v>182</v>
      </c>
      <c r="AX10" s="16"/>
      <c r="AY10" s="16"/>
      <c r="AZ10" s="16" t="s">
        <v>109</v>
      </c>
      <c r="BA10" s="16" t="n">
        <v>550</v>
      </c>
      <c r="BB10" s="16" t="s">
        <v>183</v>
      </c>
      <c r="BC10" s="16" t="s">
        <v>184</v>
      </c>
      <c r="BD10" s="16" t="s">
        <v>105</v>
      </c>
      <c r="BE10" s="16" t="s">
        <v>111</v>
      </c>
      <c r="BF10" s="16" t="n">
        <v>43.96</v>
      </c>
      <c r="BG10" s="16" t="s">
        <v>105</v>
      </c>
      <c r="BH10" s="16" t="s">
        <v>105</v>
      </c>
      <c r="BI10" s="16" t="s">
        <v>103</v>
      </c>
      <c r="BJ10" s="16" t="s">
        <v>112</v>
      </c>
      <c r="BK10" s="16" t="n">
        <v>60</v>
      </c>
      <c r="BL10" s="16" t="s">
        <v>156</v>
      </c>
      <c r="BM10" s="16"/>
      <c r="BN10" s="16" t="s">
        <v>185</v>
      </c>
      <c r="BO10" s="22" t="n">
        <v>11.9</v>
      </c>
      <c r="BP10" s="16" t="s">
        <v>186</v>
      </c>
      <c r="BQ10" s="16" t="n">
        <v>269</v>
      </c>
      <c r="BR10" s="16"/>
      <c r="BS10" s="16" t="n">
        <v>77</v>
      </c>
      <c r="BT10" s="16" t="s">
        <v>187</v>
      </c>
      <c r="BU10" s="16"/>
      <c r="BV10" s="16" t="s">
        <v>105</v>
      </c>
      <c r="BW10" s="16" t="s">
        <v>103</v>
      </c>
      <c r="BX10" s="18" t="s">
        <v>188</v>
      </c>
      <c r="BY10" s="26" t="s">
        <v>189</v>
      </c>
      <c r="BZ10" s="26" t="s">
        <v>190</v>
      </c>
      <c r="CA10" s="18" t="s">
        <v>191</v>
      </c>
    </row>
    <row r="11" customFormat="false" ht="42" hidden="false" customHeight="true" outlineLevel="0" collapsed="false">
      <c r="A11" s="16" t="s">
        <v>98</v>
      </c>
      <c r="B11" s="17" t="s">
        <v>192</v>
      </c>
      <c r="C11" s="18" t="s">
        <v>193</v>
      </c>
      <c r="D11" s="16" t="s">
        <v>101</v>
      </c>
      <c r="E11" s="16" t="s">
        <v>102</v>
      </c>
      <c r="F11" s="16" t="s">
        <v>103</v>
      </c>
      <c r="G11" s="19" t="n">
        <v>2299</v>
      </c>
      <c r="H11" s="16" t="s">
        <v>122</v>
      </c>
      <c r="I11" s="16" t="s">
        <v>105</v>
      </c>
      <c r="J11" s="20" t="n">
        <v>15500</v>
      </c>
      <c r="K11" s="20" t="n">
        <v>12000</v>
      </c>
      <c r="L11" s="21" t="n">
        <v>100</v>
      </c>
      <c r="M11" s="21" t="n">
        <v>50</v>
      </c>
      <c r="N11" s="22" t="n">
        <v>15.8</v>
      </c>
      <c r="O11" s="22" t="n">
        <v>10.5</v>
      </c>
      <c r="P11" s="20" t="n">
        <v>14500</v>
      </c>
      <c r="Q11" s="20" t="n">
        <v>11500</v>
      </c>
      <c r="R11" s="21" t="n">
        <v>95.8</v>
      </c>
      <c r="S11" s="21" t="n">
        <v>47.9</v>
      </c>
      <c r="T11" s="22" t="n">
        <v>25.2</v>
      </c>
      <c r="U11" s="22" t="n">
        <v>10.8</v>
      </c>
      <c r="V11" s="16" t="s">
        <v>180</v>
      </c>
      <c r="W11" s="20"/>
      <c r="X11" s="20"/>
      <c r="Y11" s="21"/>
      <c r="Z11" s="21"/>
      <c r="AA11" s="16"/>
      <c r="AB11" s="20"/>
      <c r="AC11" s="16" t="n">
        <v>4</v>
      </c>
      <c r="AD11" s="16"/>
      <c r="AE11" s="16"/>
      <c r="AF11" s="16" t="n">
        <v>1</v>
      </c>
      <c r="AG11" s="16" t="n">
        <v>2</v>
      </c>
      <c r="AH11" s="16"/>
      <c r="AI11" s="16"/>
      <c r="AJ11" s="16" t="s">
        <v>105</v>
      </c>
      <c r="AK11" s="23" t="str">
        <f aca="false">IF(N(AG11)&gt;0,"14-50R (50A)",IF(N(AF11)&gt;0,"L14-30R (30A)","None - 120V only"))</f>
        <v>14-50R (50A)</v>
      </c>
      <c r="AL11" s="24" t="n">
        <f aca="false">INDEX(Compatibility!$C$2:$C$5,MATCH(AK11,Compatibility!$A$2:$A$5,0))</f>
        <v>12000</v>
      </c>
      <c r="AM11" s="24" t="n">
        <f aca="false">IF(ISNUMBER(K11),MIN(K11,AL11),"")</f>
        <v>12000</v>
      </c>
      <c r="AN11" s="24" t="n">
        <f aca="false">IF(ISNUMBER(Q11),MIN(Q11,AL11),"")</f>
        <v>11500</v>
      </c>
      <c r="AO11" s="24" t="str">
        <f aca="false">IF(ISNUMBER(X11),MIN(X11,AL11),"")</f>
        <v/>
      </c>
      <c r="AP11" s="25" t="str">
        <f aca="false">INDEX(Compatibility!$D$2:$D$5,MATCH(AK11,Compatibility!$A$2:$A$5,0))</f>
        <v>XP50PB, XP50PBN, PB50, PBN50 (50A CS6375 inlet)</v>
      </c>
      <c r="AQ11" s="25" t="str">
        <f aca="false">INDEX(Compatibility!$E$2:$E$5,MATCH(AK11,Compatibility!$A$2:$A$5,0))</f>
        <v>XP5015GC, XP5025GC, XP5050GC, PC5020-14, PC5025-14M (14-50P to CS6364)</v>
      </c>
      <c r="AR11" s="25" t="str">
        <f aca="false">INDEX(Compatibility!$F$2:$F$5,MATCH(AK11,Compatibility!$A$2:$A$5,0))</f>
        <v>50A / 10 circuit: R510A (outdoor), A510C, 510C, 510D; 50A / 6 circuit: 506C</v>
      </c>
      <c r="AS11" s="25" t="str">
        <f aca="false">INDEX(Compatibility!$G$2:$G$5,MATCH(AK11,Compatibility!$A$2:$A$5,0))</f>
        <v>50A 2-pole backfeed breaker (panel brand) + GenInterlock kit for panel</v>
      </c>
      <c r="AT11" s="16" t="s">
        <v>106</v>
      </c>
      <c r="AU11" s="16" t="s">
        <v>103</v>
      </c>
      <c r="AV11" s="25" t="str">
        <f aca="false">IF(I11&lt;&gt;"Yes","120V only - extension cords / furnace switch",IF(AT11="Floating","Floating neutral: standard 2-pole transfer switch or interlock kit as-is",IF(AT11="Bonded",IF(AU11="Yes","Bonded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Floating neutral: standard 2-pole transfer switch or interlock kit as-is</v>
      </c>
      <c r="AW11" s="18" t="s">
        <v>182</v>
      </c>
      <c r="AX11" s="16"/>
      <c r="AY11" s="16"/>
      <c r="AZ11" s="16" t="s">
        <v>109</v>
      </c>
      <c r="BA11" s="16" t="n">
        <v>550</v>
      </c>
      <c r="BB11" s="16" t="s">
        <v>183</v>
      </c>
      <c r="BC11" s="16" t="s">
        <v>184</v>
      </c>
      <c r="BD11" s="16" t="s">
        <v>105</v>
      </c>
      <c r="BE11" s="16" t="s">
        <v>111</v>
      </c>
      <c r="BF11" s="16" t="n">
        <v>43.96</v>
      </c>
      <c r="BG11" s="16" t="s">
        <v>105</v>
      </c>
      <c r="BH11" s="16" t="s">
        <v>105</v>
      </c>
      <c r="BI11" s="16" t="s">
        <v>103</v>
      </c>
      <c r="BJ11" s="16" t="s">
        <v>112</v>
      </c>
      <c r="BK11" s="16" t="n">
        <v>60</v>
      </c>
      <c r="BL11" s="16" t="s">
        <v>156</v>
      </c>
      <c r="BM11" s="16"/>
      <c r="BN11" s="16" t="s">
        <v>185</v>
      </c>
      <c r="BO11" s="22" t="n">
        <v>11.9</v>
      </c>
      <c r="BP11" s="16" t="s">
        <v>194</v>
      </c>
      <c r="BQ11" s="16" t="n">
        <v>269</v>
      </c>
      <c r="BR11" s="16"/>
      <c r="BS11" s="16" t="n">
        <v>77</v>
      </c>
      <c r="BT11" s="16" t="s">
        <v>187</v>
      </c>
      <c r="BU11" s="16"/>
      <c r="BV11" s="16" t="s">
        <v>105</v>
      </c>
      <c r="BW11" s="16" t="s">
        <v>103</v>
      </c>
      <c r="BX11" s="18" t="s">
        <v>195</v>
      </c>
      <c r="BY11" s="26" t="s">
        <v>196</v>
      </c>
      <c r="BZ11" s="26" t="s">
        <v>197</v>
      </c>
      <c r="CA11" s="18" t="s">
        <v>198</v>
      </c>
    </row>
    <row r="12" customFormat="false" ht="42" hidden="false" customHeight="true" outlineLevel="0" collapsed="false">
      <c r="A12" s="16" t="s">
        <v>98</v>
      </c>
      <c r="B12" s="17" t="s">
        <v>199</v>
      </c>
      <c r="C12" s="18" t="s">
        <v>200</v>
      </c>
      <c r="D12" s="16" t="s">
        <v>101</v>
      </c>
      <c r="E12" s="16" t="s">
        <v>151</v>
      </c>
      <c r="F12" s="16" t="s">
        <v>105</v>
      </c>
      <c r="G12" s="19" t="n">
        <v>3499</v>
      </c>
      <c r="H12" s="16" t="s">
        <v>122</v>
      </c>
      <c r="I12" s="16" t="s">
        <v>105</v>
      </c>
      <c r="J12" s="20" t="n">
        <v>15000</v>
      </c>
      <c r="K12" s="20" t="n">
        <v>12000</v>
      </c>
      <c r="L12" s="21" t="n">
        <v>100</v>
      </c>
      <c r="M12" s="21" t="n">
        <v>50</v>
      </c>
      <c r="N12" s="22" t="n">
        <v>17.9</v>
      </c>
      <c r="O12" s="22" t="n">
        <v>12</v>
      </c>
      <c r="P12" s="20" t="n">
        <v>14250</v>
      </c>
      <c r="Q12" s="20" t="n">
        <v>11400</v>
      </c>
      <c r="R12" s="21" t="n">
        <v>95</v>
      </c>
      <c r="S12" s="21" t="n">
        <v>47.5</v>
      </c>
      <c r="T12" s="22" t="n">
        <v>25</v>
      </c>
      <c r="U12" s="22" t="n">
        <v>13</v>
      </c>
      <c r="V12" s="16" t="s">
        <v>180</v>
      </c>
      <c r="W12" s="20" t="n">
        <v>13000</v>
      </c>
      <c r="X12" s="20" t="n">
        <v>10500</v>
      </c>
      <c r="Y12" s="21" t="n">
        <v>85.5</v>
      </c>
      <c r="Z12" s="21" t="n">
        <v>43.75</v>
      </c>
      <c r="AA12" s="16" t="s">
        <v>152</v>
      </c>
      <c r="AB12" s="20" t="n">
        <v>278000</v>
      </c>
      <c r="AC12" s="16" t="n">
        <v>4</v>
      </c>
      <c r="AD12" s="16" t="n">
        <v>0</v>
      </c>
      <c r="AE12" s="16"/>
      <c r="AF12" s="16" t="n">
        <v>0</v>
      </c>
      <c r="AG12" s="16" t="n">
        <v>2</v>
      </c>
      <c r="AH12" s="16"/>
      <c r="AI12" s="16"/>
      <c r="AJ12" s="16" t="s">
        <v>105</v>
      </c>
      <c r="AK12" s="23" t="str">
        <f aca="false">IF(N(AG12)&gt;0,"14-50R (50A)",IF(N(AF12)&gt;0,"L14-30R (30A)","None - 120V only"))</f>
        <v>14-50R (50A)</v>
      </c>
      <c r="AL12" s="24" t="n">
        <f aca="false">INDEX(Compatibility!$C$2:$C$5,MATCH(AK12,Compatibility!$A$2:$A$5,0))</f>
        <v>12000</v>
      </c>
      <c r="AM12" s="24" t="n">
        <f aca="false">IF(ISNUMBER(K12),MIN(K12,AL12),"")</f>
        <v>12000</v>
      </c>
      <c r="AN12" s="24" t="n">
        <f aca="false">IF(ISNUMBER(Q12),MIN(Q12,AL12),"")</f>
        <v>11400</v>
      </c>
      <c r="AO12" s="24" t="n">
        <f aca="false">IF(ISNUMBER(X12),MIN(X12,AL12),"")</f>
        <v>10500</v>
      </c>
      <c r="AP12" s="25" t="str">
        <f aca="false">INDEX(Compatibility!$D$2:$D$5,MATCH(AK12,Compatibility!$A$2:$A$5,0))</f>
        <v>XP50PB, XP50PBN, PB50, PBN50 (50A CS6375 inlet)</v>
      </c>
      <c r="AQ12" s="25" t="str">
        <f aca="false">INDEX(Compatibility!$E$2:$E$5,MATCH(AK12,Compatibility!$A$2:$A$5,0))</f>
        <v>XP5015GC, XP5025GC, XP5050GC, PC5020-14, PC5025-14M (14-50P to CS6364)</v>
      </c>
      <c r="AR12" s="25" t="str">
        <f aca="false">INDEX(Compatibility!$F$2:$F$5,MATCH(AK12,Compatibility!$A$2:$A$5,0))</f>
        <v>50A / 10 circuit: R510A (outdoor), A510C, 510C, 510D; 50A / 6 circuit: 506C</v>
      </c>
      <c r="AS12" s="25" t="str">
        <f aca="false">INDEX(Compatibility!$G$2:$G$5,MATCH(AK12,Compatibility!$A$2:$A$5,0))</f>
        <v>50A 2-pole backfeed breaker (panel brand) + GenInterlock kit for panel</v>
      </c>
      <c r="AT12" s="16" t="s">
        <v>201</v>
      </c>
      <c r="AU12" s="16" t="s">
        <v>103</v>
      </c>
      <c r="AV12" s="25" t="str">
        <f aca="false">IF(I12&lt;&gt;"Yes","120V only - extension cords / furnace switch",IF(AT12="Floating","Floating neutral: standard 2-pole transfer switch or interlock kit as-is",IF(AT12="Bonded",IF(AU12="Yes","Bonded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Bonded neutral, no unbond instructions published: neutral-switching (3-pole) switch - confirm with DuroMax</v>
      </c>
      <c r="AW12" s="18" t="s">
        <v>202</v>
      </c>
      <c r="AX12" s="26" t="s">
        <v>203</v>
      </c>
      <c r="AY12" s="16"/>
      <c r="AZ12" s="16" t="s">
        <v>109</v>
      </c>
      <c r="BA12" s="16" t="n">
        <v>500</v>
      </c>
      <c r="BB12" s="16" t="s">
        <v>204</v>
      </c>
      <c r="BC12" s="16" t="s">
        <v>205</v>
      </c>
      <c r="BD12" s="16" t="s">
        <v>105</v>
      </c>
      <c r="BE12" s="16" t="s">
        <v>111</v>
      </c>
      <c r="BF12" s="16" t="n">
        <v>37.2</v>
      </c>
      <c r="BG12" s="16" t="s">
        <v>105</v>
      </c>
      <c r="BH12" s="16" t="s">
        <v>105</v>
      </c>
      <c r="BI12" s="16" t="s">
        <v>105</v>
      </c>
      <c r="BJ12" s="16" t="s">
        <v>112</v>
      </c>
      <c r="BK12" s="16" t="n">
        <v>60</v>
      </c>
      <c r="BL12" s="16" t="s">
        <v>156</v>
      </c>
      <c r="BM12" s="16" t="s">
        <v>105</v>
      </c>
      <c r="BN12" s="16" t="s">
        <v>185</v>
      </c>
      <c r="BO12" s="22" t="n">
        <v>8.3</v>
      </c>
      <c r="BP12" s="16" t="s">
        <v>206</v>
      </c>
      <c r="BQ12" s="16" t="n">
        <v>237</v>
      </c>
      <c r="BR12" s="16"/>
      <c r="BS12" s="16" t="n">
        <v>74</v>
      </c>
      <c r="BT12" s="16" t="s">
        <v>187</v>
      </c>
      <c r="BU12" s="16"/>
      <c r="BV12" s="16" t="s">
        <v>105</v>
      </c>
      <c r="BW12" s="16"/>
      <c r="BX12" s="18" t="s">
        <v>207</v>
      </c>
      <c r="BY12" s="26" t="s">
        <v>208</v>
      </c>
      <c r="BZ12" s="26" t="s">
        <v>209</v>
      </c>
      <c r="CA12" s="18" t="s">
        <v>210</v>
      </c>
    </row>
    <row r="13" customFormat="false" ht="42" hidden="false" customHeight="true" outlineLevel="0" collapsed="false">
      <c r="A13" s="16" t="s">
        <v>98</v>
      </c>
      <c r="B13" s="17" t="s">
        <v>211</v>
      </c>
      <c r="C13" s="18" t="s">
        <v>212</v>
      </c>
      <c r="D13" s="16" t="s">
        <v>101</v>
      </c>
      <c r="E13" s="16" t="s">
        <v>102</v>
      </c>
      <c r="F13" s="16" t="s">
        <v>105</v>
      </c>
      <c r="G13" s="19" t="n">
        <v>2899</v>
      </c>
      <c r="H13" s="16" t="s">
        <v>122</v>
      </c>
      <c r="I13" s="16" t="s">
        <v>105</v>
      </c>
      <c r="J13" s="20" t="n">
        <v>15000</v>
      </c>
      <c r="K13" s="20" t="n">
        <v>12000</v>
      </c>
      <c r="L13" s="21" t="n">
        <v>100</v>
      </c>
      <c r="M13" s="21" t="n">
        <v>50</v>
      </c>
      <c r="N13" s="22" t="n">
        <v>17.9</v>
      </c>
      <c r="O13" s="22" t="n">
        <v>10</v>
      </c>
      <c r="P13" s="20" t="n">
        <v>14250</v>
      </c>
      <c r="Q13" s="20" t="n">
        <v>11400</v>
      </c>
      <c r="R13" s="21" t="n">
        <v>95</v>
      </c>
      <c r="S13" s="21" t="n">
        <v>47.5</v>
      </c>
      <c r="T13" s="22" t="n">
        <v>25</v>
      </c>
      <c r="U13" s="22" t="n">
        <v>13</v>
      </c>
      <c r="V13" s="16" t="s">
        <v>180</v>
      </c>
      <c r="W13" s="20"/>
      <c r="X13" s="20"/>
      <c r="Y13" s="21"/>
      <c r="Z13" s="21"/>
      <c r="AA13" s="16"/>
      <c r="AB13" s="20"/>
      <c r="AC13" s="16" t="n">
        <v>4</v>
      </c>
      <c r="AD13" s="16" t="n">
        <v>0</v>
      </c>
      <c r="AE13" s="16"/>
      <c r="AF13" s="16" t="n">
        <v>0</v>
      </c>
      <c r="AG13" s="16" t="n">
        <v>2</v>
      </c>
      <c r="AH13" s="16"/>
      <c r="AI13" s="16"/>
      <c r="AJ13" s="16" t="s">
        <v>105</v>
      </c>
      <c r="AK13" s="23" t="str">
        <f aca="false">IF(N(AG13)&gt;0,"14-50R (50A)",IF(N(AF13)&gt;0,"L14-30R (30A)","None - 120V only"))</f>
        <v>14-50R (50A)</v>
      </c>
      <c r="AL13" s="24" t="n">
        <f aca="false">INDEX(Compatibility!$C$2:$C$5,MATCH(AK13,Compatibility!$A$2:$A$5,0))</f>
        <v>12000</v>
      </c>
      <c r="AM13" s="24" t="n">
        <f aca="false">IF(ISNUMBER(K13),MIN(K13,AL13),"")</f>
        <v>12000</v>
      </c>
      <c r="AN13" s="24" t="n">
        <f aca="false">IF(ISNUMBER(Q13),MIN(Q13,AL13),"")</f>
        <v>11400</v>
      </c>
      <c r="AO13" s="24" t="str">
        <f aca="false">IF(ISNUMBER(X13),MIN(X13,AL13),"")</f>
        <v/>
      </c>
      <c r="AP13" s="25" t="str">
        <f aca="false">INDEX(Compatibility!$D$2:$D$5,MATCH(AK13,Compatibility!$A$2:$A$5,0))</f>
        <v>XP50PB, XP50PBN, PB50, PBN50 (50A CS6375 inlet)</v>
      </c>
      <c r="AQ13" s="25" t="str">
        <f aca="false">INDEX(Compatibility!$E$2:$E$5,MATCH(AK13,Compatibility!$A$2:$A$5,0))</f>
        <v>XP5015GC, XP5025GC, XP5050GC, PC5020-14, PC5025-14M (14-50P to CS6364)</v>
      </c>
      <c r="AR13" s="25" t="str">
        <f aca="false">INDEX(Compatibility!$F$2:$F$5,MATCH(AK13,Compatibility!$A$2:$A$5,0))</f>
        <v>50A / 10 circuit: R510A (outdoor), A510C, 510C, 510D; 50A / 6 circuit: 506C</v>
      </c>
      <c r="AS13" s="25" t="str">
        <f aca="false">INDEX(Compatibility!$G$2:$G$5,MATCH(AK13,Compatibility!$A$2:$A$5,0))</f>
        <v>50A 2-pole backfeed breaker (panel brand) + GenInterlock kit for panel</v>
      </c>
      <c r="AT13" s="16" t="s">
        <v>201</v>
      </c>
      <c r="AU13" s="16" t="s">
        <v>105</v>
      </c>
      <c r="AV13" s="25" t="str">
        <f aca="false">IF(I13&lt;&gt;"Yes","120V only - extension cords / furnace switch",IF(AT13="Floating","Floating neutral: standard 2-pole transfer switch or interlock kit as-is",IF(AT13="Bonded",IF(AU13="Yes","Bonded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Bonded neutral: have an electrician remove the bond (DuroMax instructions) for 2-pole switch / interlock, or use a neutral-switching (3-pole) switch</v>
      </c>
      <c r="AW13" s="18" t="s">
        <v>213</v>
      </c>
      <c r="AX13" s="26" t="s">
        <v>214</v>
      </c>
      <c r="AY13" s="26" t="s">
        <v>215</v>
      </c>
      <c r="AZ13" s="16" t="s">
        <v>109</v>
      </c>
      <c r="BA13" s="16" t="n">
        <v>500</v>
      </c>
      <c r="BB13" s="16" t="s">
        <v>204</v>
      </c>
      <c r="BC13" s="16" t="s">
        <v>205</v>
      </c>
      <c r="BD13" s="16" t="s">
        <v>105</v>
      </c>
      <c r="BE13" s="16" t="s">
        <v>111</v>
      </c>
      <c r="BF13" s="16" t="n">
        <v>37.2</v>
      </c>
      <c r="BG13" s="16" t="s">
        <v>105</v>
      </c>
      <c r="BH13" s="16" t="s">
        <v>105</v>
      </c>
      <c r="BI13" s="16" t="s">
        <v>105</v>
      </c>
      <c r="BJ13" s="16" t="s">
        <v>112</v>
      </c>
      <c r="BK13" s="16" t="n">
        <v>60</v>
      </c>
      <c r="BL13" s="16" t="s">
        <v>156</v>
      </c>
      <c r="BM13" s="16" t="s">
        <v>105</v>
      </c>
      <c r="BN13" s="16" t="s">
        <v>185</v>
      </c>
      <c r="BO13" s="22" t="n">
        <v>8.3</v>
      </c>
      <c r="BP13" s="16" t="s">
        <v>206</v>
      </c>
      <c r="BQ13" s="16" t="n">
        <v>237</v>
      </c>
      <c r="BR13" s="16"/>
      <c r="BS13" s="16" t="n">
        <v>74</v>
      </c>
      <c r="BT13" s="16" t="s">
        <v>187</v>
      </c>
      <c r="BU13" s="16"/>
      <c r="BV13" s="16" t="s">
        <v>105</v>
      </c>
      <c r="BW13" s="16"/>
      <c r="BX13" s="18" t="s">
        <v>216</v>
      </c>
      <c r="BY13" s="26" t="s">
        <v>217</v>
      </c>
      <c r="BZ13" s="26" t="s">
        <v>218</v>
      </c>
      <c r="CA13" s="18" t="s">
        <v>219</v>
      </c>
    </row>
    <row r="14" customFormat="false" ht="42" hidden="false" customHeight="true" outlineLevel="0" collapsed="false">
      <c r="A14" s="16" t="s">
        <v>98</v>
      </c>
      <c r="B14" s="17" t="s">
        <v>220</v>
      </c>
      <c r="C14" s="18" t="s">
        <v>221</v>
      </c>
      <c r="D14" s="16" t="s">
        <v>101</v>
      </c>
      <c r="E14" s="16" t="s">
        <v>151</v>
      </c>
      <c r="F14" s="16" t="s">
        <v>103</v>
      </c>
      <c r="G14" s="19" t="n">
        <v>2599</v>
      </c>
      <c r="H14" s="16" t="s">
        <v>122</v>
      </c>
      <c r="I14" s="16" t="s">
        <v>105</v>
      </c>
      <c r="J14" s="20" t="n">
        <v>15000</v>
      </c>
      <c r="K14" s="20" t="n">
        <v>12000</v>
      </c>
      <c r="L14" s="21" t="n">
        <v>100</v>
      </c>
      <c r="M14" s="21" t="n">
        <v>50</v>
      </c>
      <c r="N14" s="22" t="n">
        <v>17.9</v>
      </c>
      <c r="O14" s="22" t="n">
        <v>12</v>
      </c>
      <c r="P14" s="20" t="n">
        <v>14250</v>
      </c>
      <c r="Q14" s="20" t="n">
        <v>11400</v>
      </c>
      <c r="R14" s="21" t="n">
        <v>95</v>
      </c>
      <c r="S14" s="21" t="n">
        <v>47.5</v>
      </c>
      <c r="T14" s="22" t="n">
        <v>12.5</v>
      </c>
      <c r="U14" s="22" t="n">
        <v>8.5</v>
      </c>
      <c r="V14" s="16" t="s">
        <v>180</v>
      </c>
      <c r="W14" s="20" t="n">
        <v>12825</v>
      </c>
      <c r="X14" s="20" t="n">
        <v>10260</v>
      </c>
      <c r="Y14" s="21" t="n">
        <v>85.5</v>
      </c>
      <c r="Z14" s="21" t="n">
        <v>42.75</v>
      </c>
      <c r="AA14" s="16" t="s">
        <v>152</v>
      </c>
      <c r="AB14" s="20" t="n">
        <v>278000</v>
      </c>
      <c r="AC14" s="16" t="n">
        <v>10</v>
      </c>
      <c r="AD14" s="16" t="n">
        <v>1</v>
      </c>
      <c r="AE14" s="16"/>
      <c r="AF14" s="16" t="n">
        <v>1</v>
      </c>
      <c r="AG14" s="16" t="n">
        <v>1</v>
      </c>
      <c r="AH14" s="16"/>
      <c r="AI14" s="16"/>
      <c r="AJ14" s="16" t="s">
        <v>105</v>
      </c>
      <c r="AK14" s="23" t="str">
        <f aca="false">IF(N(AG14)&gt;0,"14-50R (50A)",IF(N(AF14)&gt;0,"L14-30R (30A)","None - 120V only"))</f>
        <v>14-50R (50A)</v>
      </c>
      <c r="AL14" s="24" t="n">
        <f aca="false">INDEX(Compatibility!$C$2:$C$5,MATCH(AK14,Compatibility!$A$2:$A$5,0))</f>
        <v>12000</v>
      </c>
      <c r="AM14" s="24" t="n">
        <f aca="false">IF(ISNUMBER(K14),MIN(K14,AL14),"")</f>
        <v>12000</v>
      </c>
      <c r="AN14" s="24" t="n">
        <f aca="false">IF(ISNUMBER(Q14),MIN(Q14,AL14),"")</f>
        <v>11400</v>
      </c>
      <c r="AO14" s="24" t="n">
        <f aca="false">IF(ISNUMBER(X14),MIN(X14,AL14),"")</f>
        <v>10260</v>
      </c>
      <c r="AP14" s="25" t="str">
        <f aca="false">INDEX(Compatibility!$D$2:$D$5,MATCH(AK14,Compatibility!$A$2:$A$5,0))</f>
        <v>XP50PB, XP50PBN, PB50, PBN50 (50A CS6375 inlet)</v>
      </c>
      <c r="AQ14" s="25" t="str">
        <f aca="false">INDEX(Compatibility!$E$2:$E$5,MATCH(AK14,Compatibility!$A$2:$A$5,0))</f>
        <v>XP5015GC, XP5025GC, XP5050GC, PC5020-14, PC5025-14M (14-50P to CS6364)</v>
      </c>
      <c r="AR14" s="25" t="str">
        <f aca="false">INDEX(Compatibility!$F$2:$F$5,MATCH(AK14,Compatibility!$A$2:$A$5,0))</f>
        <v>50A / 10 circuit: R510A (outdoor), A510C, 510C, 510D; 50A / 6 circuit: 506C</v>
      </c>
      <c r="AS14" s="25" t="str">
        <f aca="false">INDEX(Compatibility!$G$2:$G$5,MATCH(AK14,Compatibility!$A$2:$A$5,0))</f>
        <v>50A 2-pole backfeed breaker (panel brand) + GenInterlock kit for panel</v>
      </c>
      <c r="AT14" s="16" t="s">
        <v>201</v>
      </c>
      <c r="AU14" s="16" t="s">
        <v>105</v>
      </c>
      <c r="AV14" s="25" t="str">
        <f aca="false">IF(I14&lt;&gt;"Yes","120V only - extension cords / furnace switch",IF(AT14="Floating","Floating neutral: standard 2-pole transfer switch or interlock kit as-is",IF(AT14="Bonded",IF(AU14="Yes","Bonded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Bonded neutral: have an electrician remove the bond (DuroMax instructions) for 2-pole switch / interlock, or use a neutral-switching (3-pole) switch</v>
      </c>
      <c r="AW14" s="18" t="s">
        <v>202</v>
      </c>
      <c r="AX14" s="26" t="s">
        <v>222</v>
      </c>
      <c r="AY14" s="26" t="s">
        <v>223</v>
      </c>
      <c r="AZ14" s="16" t="s">
        <v>109</v>
      </c>
      <c r="BA14" s="16" t="n">
        <v>670</v>
      </c>
      <c r="BB14" s="16" t="s">
        <v>183</v>
      </c>
      <c r="BC14" s="16" t="s">
        <v>205</v>
      </c>
      <c r="BD14" s="16" t="s">
        <v>105</v>
      </c>
      <c r="BE14" s="16" t="s">
        <v>111</v>
      </c>
      <c r="BF14" s="16" t="n">
        <v>57.5</v>
      </c>
      <c r="BG14" s="16" t="s">
        <v>105</v>
      </c>
      <c r="BH14" s="16" t="s">
        <v>105</v>
      </c>
      <c r="BI14" s="16" t="s">
        <v>103</v>
      </c>
      <c r="BJ14" s="16" t="s">
        <v>112</v>
      </c>
      <c r="BK14" s="16" t="n">
        <v>60</v>
      </c>
      <c r="BL14" s="16" t="s">
        <v>156</v>
      </c>
      <c r="BM14" s="16" t="s">
        <v>105</v>
      </c>
      <c r="BN14" s="16" t="s">
        <v>185</v>
      </c>
      <c r="BO14" s="22" t="n">
        <v>13.2</v>
      </c>
      <c r="BP14" s="16" t="s">
        <v>224</v>
      </c>
      <c r="BQ14" s="16" t="n">
        <v>362</v>
      </c>
      <c r="BR14" s="16"/>
      <c r="BS14" s="16" t="n">
        <v>78</v>
      </c>
      <c r="BT14" s="16" t="s">
        <v>187</v>
      </c>
      <c r="BU14" s="16"/>
      <c r="BV14" s="16" t="s">
        <v>105</v>
      </c>
      <c r="BW14" s="16"/>
      <c r="BX14" s="18" t="s">
        <v>225</v>
      </c>
      <c r="BY14" s="26" t="s">
        <v>226</v>
      </c>
      <c r="BZ14" s="26" t="s">
        <v>227</v>
      </c>
      <c r="CA14" s="18" t="s">
        <v>228</v>
      </c>
    </row>
    <row r="15" customFormat="false" ht="42" hidden="false" customHeight="true" outlineLevel="0" collapsed="false">
      <c r="A15" s="16" t="s">
        <v>98</v>
      </c>
      <c r="B15" s="17" t="s">
        <v>229</v>
      </c>
      <c r="C15" s="18" t="s">
        <v>230</v>
      </c>
      <c r="D15" s="16" t="s">
        <v>101</v>
      </c>
      <c r="E15" s="16" t="s">
        <v>102</v>
      </c>
      <c r="F15" s="16" t="s">
        <v>103</v>
      </c>
      <c r="G15" s="19" t="n">
        <v>2499</v>
      </c>
      <c r="H15" s="16" t="s">
        <v>122</v>
      </c>
      <c r="I15" s="16" t="s">
        <v>105</v>
      </c>
      <c r="J15" s="20" t="n">
        <v>15000</v>
      </c>
      <c r="K15" s="20" t="n">
        <v>12000</v>
      </c>
      <c r="L15" s="21" t="n">
        <v>100</v>
      </c>
      <c r="M15" s="21" t="n">
        <v>50</v>
      </c>
      <c r="N15" s="22" t="n">
        <v>17.9</v>
      </c>
      <c r="O15" s="22" t="n">
        <v>12</v>
      </c>
      <c r="P15" s="20" t="n">
        <v>14250</v>
      </c>
      <c r="Q15" s="20" t="n">
        <v>11400</v>
      </c>
      <c r="R15" s="21" t="n">
        <v>95</v>
      </c>
      <c r="S15" s="21" t="n">
        <v>47.5</v>
      </c>
      <c r="T15" s="22" t="n">
        <v>12.5</v>
      </c>
      <c r="U15" s="22" t="n">
        <v>8.5</v>
      </c>
      <c r="V15" s="16"/>
      <c r="W15" s="20"/>
      <c r="X15" s="20"/>
      <c r="Y15" s="21"/>
      <c r="Z15" s="21"/>
      <c r="AA15" s="16"/>
      <c r="AB15" s="20"/>
      <c r="AC15" s="16" t="n">
        <v>10</v>
      </c>
      <c r="AD15" s="16" t="n">
        <v>1</v>
      </c>
      <c r="AE15" s="16"/>
      <c r="AF15" s="16" t="n">
        <v>1</v>
      </c>
      <c r="AG15" s="16" t="n">
        <v>1</v>
      </c>
      <c r="AH15" s="16"/>
      <c r="AI15" s="16"/>
      <c r="AJ15" s="16" t="s">
        <v>105</v>
      </c>
      <c r="AK15" s="23" t="str">
        <f aca="false">IF(N(AG15)&gt;0,"14-50R (50A)",IF(N(AF15)&gt;0,"L14-30R (30A)","None - 120V only"))</f>
        <v>14-50R (50A)</v>
      </c>
      <c r="AL15" s="24" t="n">
        <f aca="false">INDEX(Compatibility!$C$2:$C$5,MATCH(AK15,Compatibility!$A$2:$A$5,0))</f>
        <v>12000</v>
      </c>
      <c r="AM15" s="24" t="n">
        <f aca="false">IF(ISNUMBER(K15),MIN(K15,AL15),"")</f>
        <v>12000</v>
      </c>
      <c r="AN15" s="24" t="n">
        <f aca="false">IF(ISNUMBER(Q15),MIN(Q15,AL15),"")</f>
        <v>11400</v>
      </c>
      <c r="AO15" s="24" t="str">
        <f aca="false">IF(ISNUMBER(X15),MIN(X15,AL15),"")</f>
        <v/>
      </c>
      <c r="AP15" s="25" t="str">
        <f aca="false">INDEX(Compatibility!$D$2:$D$5,MATCH(AK15,Compatibility!$A$2:$A$5,0))</f>
        <v>XP50PB, XP50PBN, PB50, PBN50 (50A CS6375 inlet)</v>
      </c>
      <c r="AQ15" s="25" t="str">
        <f aca="false">INDEX(Compatibility!$E$2:$E$5,MATCH(AK15,Compatibility!$A$2:$A$5,0))</f>
        <v>XP5015GC, XP5025GC, XP5050GC, PC5020-14, PC5025-14M (14-50P to CS6364)</v>
      </c>
      <c r="AR15" s="25" t="str">
        <f aca="false">INDEX(Compatibility!$F$2:$F$5,MATCH(AK15,Compatibility!$A$2:$A$5,0))</f>
        <v>50A / 10 circuit: R510A (outdoor), A510C, 510C, 510D; 50A / 6 circuit: 506C</v>
      </c>
      <c r="AS15" s="25" t="str">
        <f aca="false">INDEX(Compatibility!$G$2:$G$5,MATCH(AK15,Compatibility!$A$2:$A$5,0))</f>
        <v>50A 2-pole backfeed breaker (panel brand) + GenInterlock kit for panel</v>
      </c>
      <c r="AT15" s="16" t="s">
        <v>201</v>
      </c>
      <c r="AU15" s="16" t="s">
        <v>105</v>
      </c>
      <c r="AV15" s="25" t="str">
        <f aca="false">IF(I15&lt;&gt;"Yes","120V only - extension cords / furnace switch",IF(AT15="Floating","Floating neutral: standard 2-pole transfer switch or interlock kit as-is",IF(AT15="Bonded",IF(AU15="Yes","Bonded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Bonded neutral: have an electrician remove the bond (DuroMax instructions) for 2-pole switch / interlock, or use a neutral-switching (3-pole) switch</v>
      </c>
      <c r="AW15" s="18" t="s">
        <v>213</v>
      </c>
      <c r="AX15" s="26" t="s">
        <v>231</v>
      </c>
      <c r="AY15" s="26" t="s">
        <v>232</v>
      </c>
      <c r="AZ15" s="16" t="s">
        <v>109</v>
      </c>
      <c r="BA15" s="16" t="n">
        <v>670</v>
      </c>
      <c r="BB15" s="16" t="s">
        <v>183</v>
      </c>
      <c r="BC15" s="16" t="s">
        <v>205</v>
      </c>
      <c r="BD15" s="16" t="s">
        <v>105</v>
      </c>
      <c r="BE15" s="16" t="s">
        <v>111</v>
      </c>
      <c r="BF15" s="16" t="n">
        <v>57.5</v>
      </c>
      <c r="BG15" s="16" t="s">
        <v>105</v>
      </c>
      <c r="BH15" s="16" t="s">
        <v>105</v>
      </c>
      <c r="BI15" s="16" t="s">
        <v>103</v>
      </c>
      <c r="BJ15" s="16" t="s">
        <v>112</v>
      </c>
      <c r="BK15" s="16"/>
      <c r="BL15" s="16" t="s">
        <v>156</v>
      </c>
      <c r="BM15" s="16" t="s">
        <v>105</v>
      </c>
      <c r="BN15" s="16" t="s">
        <v>185</v>
      </c>
      <c r="BO15" s="22" t="n">
        <v>13.2</v>
      </c>
      <c r="BP15" s="16" t="s">
        <v>224</v>
      </c>
      <c r="BQ15" s="16" t="n">
        <v>345</v>
      </c>
      <c r="BR15" s="16"/>
      <c r="BS15" s="16" t="n">
        <v>78</v>
      </c>
      <c r="BT15" s="16" t="s">
        <v>187</v>
      </c>
      <c r="BU15" s="16"/>
      <c r="BV15" s="16" t="s">
        <v>105</v>
      </c>
      <c r="BW15" s="16"/>
      <c r="BX15" s="18" t="s">
        <v>233</v>
      </c>
      <c r="BY15" s="26" t="s">
        <v>234</v>
      </c>
      <c r="BZ15" s="26" t="s">
        <v>235</v>
      </c>
      <c r="CA15" s="18" t="s">
        <v>236</v>
      </c>
    </row>
    <row r="16" customFormat="false" ht="42" hidden="false" customHeight="true" outlineLevel="0" collapsed="false">
      <c r="A16" s="16" t="s">
        <v>98</v>
      </c>
      <c r="B16" s="17" t="s">
        <v>237</v>
      </c>
      <c r="C16" s="18" t="s">
        <v>238</v>
      </c>
      <c r="D16" s="16" t="s">
        <v>101</v>
      </c>
      <c r="E16" s="16" t="s">
        <v>151</v>
      </c>
      <c r="F16" s="16" t="s">
        <v>103</v>
      </c>
      <c r="G16" s="19" t="n">
        <v>2999</v>
      </c>
      <c r="H16" s="16" t="s">
        <v>122</v>
      </c>
      <c r="I16" s="16" t="s">
        <v>105</v>
      </c>
      <c r="J16" s="20" t="n">
        <v>17500</v>
      </c>
      <c r="K16" s="20" t="n">
        <v>13750</v>
      </c>
      <c r="L16" s="21" t="n">
        <v>114.6</v>
      </c>
      <c r="M16" s="21" t="n">
        <v>57.3</v>
      </c>
      <c r="N16" s="22" t="n">
        <v>15</v>
      </c>
      <c r="O16" s="22" t="n">
        <v>10</v>
      </c>
      <c r="P16" s="20" t="n">
        <v>16500</v>
      </c>
      <c r="Q16" s="20" t="n">
        <v>13000</v>
      </c>
      <c r="R16" s="21" t="n">
        <v>108.3</v>
      </c>
      <c r="S16" s="21" t="n">
        <v>54.2</v>
      </c>
      <c r="T16" s="22" t="n">
        <v>24</v>
      </c>
      <c r="U16" s="22" t="n">
        <v>10.3</v>
      </c>
      <c r="V16" s="16" t="s">
        <v>180</v>
      </c>
      <c r="W16" s="20" t="n">
        <v>14500</v>
      </c>
      <c r="X16" s="20" t="n">
        <v>11750</v>
      </c>
      <c r="Y16" s="21" t="n">
        <v>97.92</v>
      </c>
      <c r="Z16" s="21" t="n">
        <v>48.96</v>
      </c>
      <c r="AA16" s="16" t="s">
        <v>181</v>
      </c>
      <c r="AB16" s="20" t="n">
        <v>300000</v>
      </c>
      <c r="AC16" s="16" t="n">
        <v>4</v>
      </c>
      <c r="AD16" s="16"/>
      <c r="AE16" s="16"/>
      <c r="AF16" s="16" t="n">
        <v>1</v>
      </c>
      <c r="AG16" s="16" t="n">
        <v>2</v>
      </c>
      <c r="AH16" s="16"/>
      <c r="AI16" s="16"/>
      <c r="AJ16" s="16" t="s">
        <v>105</v>
      </c>
      <c r="AK16" s="23" t="str">
        <f aca="false">IF(N(AG16)&gt;0,"14-50R (50A)",IF(N(AF16)&gt;0,"L14-30R (30A)","None - 120V only"))</f>
        <v>14-50R (50A)</v>
      </c>
      <c r="AL16" s="24" t="n">
        <f aca="false">INDEX(Compatibility!$C$2:$C$5,MATCH(AK16,Compatibility!$A$2:$A$5,0))</f>
        <v>12000</v>
      </c>
      <c r="AM16" s="24" t="n">
        <f aca="false">IF(ISNUMBER(K16),MIN(K16,AL16),"")</f>
        <v>12000</v>
      </c>
      <c r="AN16" s="24" t="n">
        <f aca="false">IF(ISNUMBER(Q16),MIN(Q16,AL16),"")</f>
        <v>12000</v>
      </c>
      <c r="AO16" s="24" t="n">
        <f aca="false">IF(ISNUMBER(X16),MIN(X16,AL16),"")</f>
        <v>11750</v>
      </c>
      <c r="AP16" s="25" t="str">
        <f aca="false">INDEX(Compatibility!$D$2:$D$5,MATCH(AK16,Compatibility!$A$2:$A$5,0))</f>
        <v>XP50PB, XP50PBN, PB50, PBN50 (50A CS6375 inlet)</v>
      </c>
      <c r="AQ16" s="25" t="str">
        <f aca="false">INDEX(Compatibility!$E$2:$E$5,MATCH(AK16,Compatibility!$A$2:$A$5,0))</f>
        <v>XP5015GC, XP5025GC, XP5050GC, PC5020-14, PC5025-14M (14-50P to CS6364)</v>
      </c>
      <c r="AR16" s="25" t="str">
        <f aca="false">INDEX(Compatibility!$F$2:$F$5,MATCH(AK16,Compatibility!$A$2:$A$5,0))</f>
        <v>50A / 10 circuit: R510A (outdoor), A510C, 510C, 510D; 50A / 6 circuit: 506C</v>
      </c>
      <c r="AS16" s="25" t="str">
        <f aca="false">INDEX(Compatibility!$G$2:$G$5,MATCH(AK16,Compatibility!$A$2:$A$5,0))</f>
        <v>50A 2-pole backfeed breaker (panel brand) + GenInterlock kit for panel</v>
      </c>
      <c r="AT16" s="16" t="s">
        <v>106</v>
      </c>
      <c r="AU16" s="16" t="s">
        <v>103</v>
      </c>
      <c r="AV16" s="25" t="str">
        <f aca="false">IF(I16&lt;&gt;"Yes","120V only - extension cords / furnace switch",IF(AT16="Floating","Floating neutral: standard 2-pole transfer switch or interlock kit as-is",IF(AT16="Bonded",IF(AU16="Yes","Bonded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Floating neutral: standard 2-pole transfer switch or interlock kit as-is</v>
      </c>
      <c r="AW16" s="18" t="s">
        <v>182</v>
      </c>
      <c r="AX16" s="16"/>
      <c r="AY16" s="16"/>
      <c r="AZ16" s="16" t="s">
        <v>109</v>
      </c>
      <c r="BA16" s="16" t="n">
        <v>600</v>
      </c>
      <c r="BB16" s="16" t="s">
        <v>183</v>
      </c>
      <c r="BC16" s="16" t="s">
        <v>184</v>
      </c>
      <c r="BD16" s="16" t="s">
        <v>105</v>
      </c>
      <c r="BE16" s="16" t="s">
        <v>111</v>
      </c>
      <c r="BF16" s="16" t="n">
        <v>43.96</v>
      </c>
      <c r="BG16" s="16" t="s">
        <v>105</v>
      </c>
      <c r="BH16" s="16" t="s">
        <v>105</v>
      </c>
      <c r="BI16" s="16" t="s">
        <v>103</v>
      </c>
      <c r="BJ16" s="16" t="s">
        <v>112</v>
      </c>
      <c r="BK16" s="16" t="n">
        <v>60</v>
      </c>
      <c r="BL16" s="16" t="s">
        <v>156</v>
      </c>
      <c r="BM16" s="16"/>
      <c r="BN16" s="16" t="s">
        <v>185</v>
      </c>
      <c r="BO16" s="22" t="n">
        <v>11.9</v>
      </c>
      <c r="BP16" s="16" t="s">
        <v>239</v>
      </c>
      <c r="BQ16" s="16" t="n">
        <v>269</v>
      </c>
      <c r="BR16" s="16"/>
      <c r="BS16" s="16" t="n">
        <v>77</v>
      </c>
      <c r="BT16" s="16" t="s">
        <v>187</v>
      </c>
      <c r="BU16" s="16"/>
      <c r="BV16" s="16" t="s">
        <v>105</v>
      </c>
      <c r="BW16" s="16" t="s">
        <v>103</v>
      </c>
      <c r="BX16" s="18" t="s">
        <v>240</v>
      </c>
      <c r="BY16" s="26" t="s">
        <v>241</v>
      </c>
      <c r="BZ16" s="26" t="s">
        <v>242</v>
      </c>
      <c r="CA16" s="18" t="s">
        <v>243</v>
      </c>
    </row>
    <row r="17" customFormat="false" ht="42" hidden="false" customHeight="true" outlineLevel="0" collapsed="false">
      <c r="A17" s="16" t="s">
        <v>98</v>
      </c>
      <c r="B17" s="17" t="s">
        <v>244</v>
      </c>
      <c r="C17" s="18" t="s">
        <v>245</v>
      </c>
      <c r="D17" s="16" t="s">
        <v>101</v>
      </c>
      <c r="E17" s="16" t="s">
        <v>102</v>
      </c>
      <c r="F17" s="16" t="s">
        <v>103</v>
      </c>
      <c r="G17" s="19" t="n">
        <v>2699</v>
      </c>
      <c r="H17" s="16" t="s">
        <v>122</v>
      </c>
      <c r="I17" s="16" t="s">
        <v>105</v>
      </c>
      <c r="J17" s="20" t="n">
        <v>17500</v>
      </c>
      <c r="K17" s="20" t="n">
        <v>13750</v>
      </c>
      <c r="L17" s="21" t="n">
        <v>114.6</v>
      </c>
      <c r="M17" s="21" t="n">
        <v>57.3</v>
      </c>
      <c r="N17" s="22" t="n">
        <v>15</v>
      </c>
      <c r="O17" s="22" t="n">
        <v>10</v>
      </c>
      <c r="P17" s="20" t="n">
        <v>16500</v>
      </c>
      <c r="Q17" s="20" t="n">
        <v>13000</v>
      </c>
      <c r="R17" s="21" t="n">
        <v>108.3</v>
      </c>
      <c r="S17" s="21" t="n">
        <v>54.2</v>
      </c>
      <c r="T17" s="22" t="n">
        <v>24</v>
      </c>
      <c r="U17" s="22" t="n">
        <v>10.3</v>
      </c>
      <c r="V17" s="16" t="s">
        <v>180</v>
      </c>
      <c r="W17" s="20"/>
      <c r="X17" s="20"/>
      <c r="Y17" s="21"/>
      <c r="Z17" s="21"/>
      <c r="AA17" s="16"/>
      <c r="AB17" s="20"/>
      <c r="AC17" s="16" t="n">
        <v>4</v>
      </c>
      <c r="AD17" s="16"/>
      <c r="AE17" s="16"/>
      <c r="AF17" s="16" t="n">
        <v>1</v>
      </c>
      <c r="AG17" s="16" t="n">
        <v>2</v>
      </c>
      <c r="AH17" s="16"/>
      <c r="AI17" s="16"/>
      <c r="AJ17" s="16" t="s">
        <v>105</v>
      </c>
      <c r="AK17" s="23" t="str">
        <f aca="false">IF(N(AG17)&gt;0,"14-50R (50A)",IF(N(AF17)&gt;0,"L14-30R (30A)","None - 120V only"))</f>
        <v>14-50R (50A)</v>
      </c>
      <c r="AL17" s="24" t="n">
        <f aca="false">INDEX(Compatibility!$C$2:$C$5,MATCH(AK17,Compatibility!$A$2:$A$5,0))</f>
        <v>12000</v>
      </c>
      <c r="AM17" s="24" t="n">
        <f aca="false">IF(ISNUMBER(K17),MIN(K17,AL17),"")</f>
        <v>12000</v>
      </c>
      <c r="AN17" s="24" t="n">
        <f aca="false">IF(ISNUMBER(Q17),MIN(Q17,AL17),"")</f>
        <v>12000</v>
      </c>
      <c r="AO17" s="24" t="str">
        <f aca="false">IF(ISNUMBER(X17),MIN(X17,AL17),"")</f>
        <v/>
      </c>
      <c r="AP17" s="25" t="str">
        <f aca="false">INDEX(Compatibility!$D$2:$D$5,MATCH(AK17,Compatibility!$A$2:$A$5,0))</f>
        <v>XP50PB, XP50PBN, PB50, PBN50 (50A CS6375 inlet)</v>
      </c>
      <c r="AQ17" s="25" t="str">
        <f aca="false">INDEX(Compatibility!$E$2:$E$5,MATCH(AK17,Compatibility!$A$2:$A$5,0))</f>
        <v>XP5015GC, XP5025GC, XP5050GC, PC5020-14, PC5025-14M (14-50P to CS6364)</v>
      </c>
      <c r="AR17" s="25" t="str">
        <f aca="false">INDEX(Compatibility!$F$2:$F$5,MATCH(AK17,Compatibility!$A$2:$A$5,0))</f>
        <v>50A / 10 circuit: R510A (outdoor), A510C, 510C, 510D; 50A / 6 circuit: 506C</v>
      </c>
      <c r="AS17" s="25" t="str">
        <f aca="false">INDEX(Compatibility!$G$2:$G$5,MATCH(AK17,Compatibility!$A$2:$A$5,0))</f>
        <v>50A 2-pole backfeed breaker (panel brand) + GenInterlock kit for panel</v>
      </c>
      <c r="AT17" s="16" t="s">
        <v>106</v>
      </c>
      <c r="AU17" s="16" t="s">
        <v>103</v>
      </c>
      <c r="AV17" s="25" t="str">
        <f aca="false">IF(I17&lt;&gt;"Yes","120V only - extension cords / furnace switch",IF(AT17="Floating","Floating neutral: standard 2-pole transfer switch or interlock kit as-is",IF(AT17="Bonded",IF(AU17="Yes","Bonded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Floating neutral: standard 2-pole transfer switch or interlock kit as-is</v>
      </c>
      <c r="AW17" s="18" t="s">
        <v>182</v>
      </c>
      <c r="AX17" s="16"/>
      <c r="AY17" s="16"/>
      <c r="AZ17" s="16" t="s">
        <v>109</v>
      </c>
      <c r="BA17" s="16" t="n">
        <v>600</v>
      </c>
      <c r="BB17" s="16" t="s">
        <v>183</v>
      </c>
      <c r="BC17" s="16" t="s">
        <v>184</v>
      </c>
      <c r="BD17" s="16" t="s">
        <v>105</v>
      </c>
      <c r="BE17" s="16" t="s">
        <v>111</v>
      </c>
      <c r="BF17" s="16" t="n">
        <v>43.96</v>
      </c>
      <c r="BG17" s="16" t="s">
        <v>105</v>
      </c>
      <c r="BH17" s="16" t="s">
        <v>105</v>
      </c>
      <c r="BI17" s="16" t="s">
        <v>103</v>
      </c>
      <c r="BJ17" s="16" t="s">
        <v>112</v>
      </c>
      <c r="BK17" s="16" t="n">
        <v>60</v>
      </c>
      <c r="BL17" s="16" t="s">
        <v>156</v>
      </c>
      <c r="BM17" s="16"/>
      <c r="BN17" s="16" t="s">
        <v>185</v>
      </c>
      <c r="BO17" s="22" t="n">
        <v>11.9</v>
      </c>
      <c r="BP17" s="16" t="s">
        <v>239</v>
      </c>
      <c r="BQ17" s="16" t="n">
        <v>269</v>
      </c>
      <c r="BR17" s="16"/>
      <c r="BS17" s="16" t="n">
        <v>77</v>
      </c>
      <c r="BT17" s="16" t="s">
        <v>187</v>
      </c>
      <c r="BU17" s="16"/>
      <c r="BV17" s="16" t="s">
        <v>105</v>
      </c>
      <c r="BW17" s="16" t="s">
        <v>103</v>
      </c>
      <c r="BX17" s="18" t="s">
        <v>246</v>
      </c>
      <c r="BY17" s="26" t="s">
        <v>247</v>
      </c>
      <c r="BZ17" s="26" t="s">
        <v>248</v>
      </c>
      <c r="CA17" s="18" t="s">
        <v>249</v>
      </c>
    </row>
    <row r="18" customFormat="false" ht="42" hidden="false" customHeight="true" outlineLevel="0" collapsed="false">
      <c r="A18" s="16" t="s">
        <v>98</v>
      </c>
      <c r="B18" s="17" t="s">
        <v>250</v>
      </c>
      <c r="C18" s="18" t="s">
        <v>251</v>
      </c>
      <c r="D18" s="16" t="s">
        <v>252</v>
      </c>
      <c r="E18" s="16" t="s">
        <v>102</v>
      </c>
      <c r="F18" s="16" t="s">
        <v>103</v>
      </c>
      <c r="G18" s="19" t="n">
        <v>649</v>
      </c>
      <c r="H18" s="16" t="s">
        <v>122</v>
      </c>
      <c r="I18" s="16" t="s">
        <v>253</v>
      </c>
      <c r="J18" s="20" t="n">
        <v>2300</v>
      </c>
      <c r="K18" s="20" t="n">
        <v>1800</v>
      </c>
      <c r="L18" s="21" t="n">
        <v>15</v>
      </c>
      <c r="M18" s="21"/>
      <c r="N18" s="22" t="n">
        <v>13</v>
      </c>
      <c r="O18" s="22" t="n">
        <v>7</v>
      </c>
      <c r="P18" s="20" t="n">
        <v>2150</v>
      </c>
      <c r="Q18" s="20" t="n">
        <v>1700</v>
      </c>
      <c r="R18" s="21" t="n">
        <v>14.16</v>
      </c>
      <c r="S18" s="21"/>
      <c r="T18" s="22" t="n">
        <v>38</v>
      </c>
      <c r="U18" s="22" t="n">
        <v>18</v>
      </c>
      <c r="V18" s="16" t="s">
        <v>254</v>
      </c>
      <c r="W18" s="20"/>
      <c r="X18" s="20"/>
      <c r="Y18" s="21"/>
      <c r="Z18" s="21"/>
      <c r="AA18" s="16"/>
      <c r="AB18" s="20"/>
      <c r="AC18" s="16" t="n">
        <v>2</v>
      </c>
      <c r="AD18" s="16" t="n">
        <v>1</v>
      </c>
      <c r="AE18" s="16" t="n">
        <v>0</v>
      </c>
      <c r="AF18" s="16" t="n">
        <v>0</v>
      </c>
      <c r="AG18" s="16" t="n">
        <v>0</v>
      </c>
      <c r="AH18" s="16" t="n">
        <v>2</v>
      </c>
      <c r="AI18" s="16" t="n">
        <v>0</v>
      </c>
      <c r="AJ18" s="16"/>
      <c r="AK18" s="23" t="str">
        <f aca="false">IF(N(AG18)&gt;0,"14-50R (50A)",IF(N(AF18)&gt;0,"L14-30R (30A)","None - 120V only"))</f>
        <v>None - 120V only</v>
      </c>
      <c r="AL18" s="24" t="n">
        <f aca="false">INDEX(Compatibility!$C$2:$C$5,MATCH(AK18,Compatibility!$A$2:$A$5,0))</f>
        <v>0</v>
      </c>
      <c r="AM18" s="24" t="n">
        <f aca="false">IF(ISNUMBER(K18),MIN(K18,AL18),"")</f>
        <v>0</v>
      </c>
      <c r="AN18" s="24" t="n">
        <f aca="false">IF(ISNUMBER(Q18),MIN(Q18,AL18),"")</f>
        <v>0</v>
      </c>
      <c r="AO18" s="24" t="str">
        <f aca="false">IF(ISNUMBER(X18),MIN(X18,AL18),"")</f>
        <v/>
      </c>
      <c r="AP18" s="25" t="str">
        <f aca="false">INDEX(Compatibility!$D$2:$D$5,MATCH(AK18,Compatibility!$A$2:$A$5,0))</f>
        <v>PB31 / PBN31 (L5-30, 120V only) - single-leg, not whole panel</v>
      </c>
      <c r="AQ18" s="25" t="str">
        <f aca="false">INDEX(Compatibility!$E$2:$E$5,MATCH(AK18,Compatibility!$A$2:$A$5,0))</f>
        <v>Standard 5-15 / 5-20 extension cords (see Connection Guide gauge table)</v>
      </c>
      <c r="AR18" s="25" t="str">
        <f aca="false">INDEX(Compatibility!$F$2:$F$5,MATCH(AK18,Compatibility!$A$2:$A$5,0))</f>
        <v>TF151W (15A) / TF201W (20A) single-circuit furnace switch only</v>
      </c>
      <c r="AS18" s="25" t="str">
        <f aca="false">INDEX(Compatibility!$G$2:$G$5,MATCH(AK18,Compatibility!$A$2:$A$5,0))</f>
        <v>Not supported - no 240V outlet</v>
      </c>
      <c r="AT18" s="16" t="s">
        <v>201</v>
      </c>
      <c r="AU18" s="16" t="s">
        <v>103</v>
      </c>
      <c r="AV18" s="25" t="str">
        <f aca="false">IF(I18&lt;&gt;"Yes","120V only - extension cords / furnace switch",IF(AT18="Floating","Floating neutral: standard 2-pole transfer switch or interlock kit as-is",IF(AT18="Bonded",IF(AU18="Yes","Bonded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120V only - extension cords / furnace switch</v>
      </c>
      <c r="AW18" s="18" t="s">
        <v>255</v>
      </c>
      <c r="AX18" s="26" t="s">
        <v>256</v>
      </c>
      <c r="AY18" s="16"/>
      <c r="AZ18" s="16" t="s">
        <v>109</v>
      </c>
      <c r="BA18" s="16" t="n">
        <v>80</v>
      </c>
      <c r="BB18" s="16" t="s">
        <v>257</v>
      </c>
      <c r="BC18" s="16" t="s">
        <v>258</v>
      </c>
      <c r="BD18" s="16" t="s">
        <v>105</v>
      </c>
      <c r="BE18" s="16" t="s">
        <v>111</v>
      </c>
      <c r="BF18" s="16" t="n">
        <v>13</v>
      </c>
      <c r="BG18" s="16" t="s">
        <v>105</v>
      </c>
      <c r="BH18" s="16" t="s">
        <v>105</v>
      </c>
      <c r="BI18" s="16" t="s">
        <v>103</v>
      </c>
      <c r="BJ18" s="16" t="s">
        <v>259</v>
      </c>
      <c r="BK18" s="16" t="n">
        <v>60</v>
      </c>
      <c r="BL18" s="16" t="s">
        <v>260</v>
      </c>
      <c r="BM18" s="16" t="s">
        <v>105</v>
      </c>
      <c r="BN18" s="16"/>
      <c r="BO18" s="22" t="n">
        <v>1.1</v>
      </c>
      <c r="BP18" s="16" t="s">
        <v>261</v>
      </c>
      <c r="BQ18" s="16" t="n">
        <v>50.6</v>
      </c>
      <c r="BR18" s="16" t="n">
        <v>53</v>
      </c>
      <c r="BS18" s="16" t="n">
        <v>52</v>
      </c>
      <c r="BT18" s="16" t="s">
        <v>115</v>
      </c>
      <c r="BU18" s="16" t="s">
        <v>105</v>
      </c>
      <c r="BV18" s="16" t="s">
        <v>103</v>
      </c>
      <c r="BW18" s="16" t="s">
        <v>105</v>
      </c>
      <c r="BX18" s="18" t="s">
        <v>262</v>
      </c>
      <c r="BY18" s="26" t="s">
        <v>263</v>
      </c>
      <c r="BZ18" s="26" t="s">
        <v>264</v>
      </c>
      <c r="CA18" s="18" t="s">
        <v>265</v>
      </c>
    </row>
    <row r="19" customFormat="false" ht="42" hidden="false" customHeight="true" outlineLevel="0" collapsed="false">
      <c r="A19" s="16" t="s">
        <v>98</v>
      </c>
      <c r="B19" s="17" t="s">
        <v>266</v>
      </c>
      <c r="C19" s="18" t="s">
        <v>267</v>
      </c>
      <c r="D19" s="16" t="s">
        <v>252</v>
      </c>
      <c r="E19" s="16" t="s">
        <v>102</v>
      </c>
      <c r="F19" s="16" t="s">
        <v>103</v>
      </c>
      <c r="G19" s="19" t="n">
        <v>1699</v>
      </c>
      <c r="H19" s="16" t="s">
        <v>268</v>
      </c>
      <c r="I19" s="16" t="s">
        <v>105</v>
      </c>
      <c r="J19" s="20" t="n">
        <v>7000</v>
      </c>
      <c r="K19" s="20" t="n">
        <v>5500</v>
      </c>
      <c r="L19" s="21" t="n">
        <v>45.83</v>
      </c>
      <c r="M19" s="21" t="n">
        <v>22.92</v>
      </c>
      <c r="N19" s="22" t="n">
        <v>16</v>
      </c>
      <c r="O19" s="22" t="n">
        <v>8</v>
      </c>
      <c r="P19" s="20" t="n">
        <v>6650</v>
      </c>
      <c r="Q19" s="20" t="n">
        <v>5225</v>
      </c>
      <c r="R19" s="21" t="n">
        <v>43.54</v>
      </c>
      <c r="S19" s="21" t="n">
        <v>21.77</v>
      </c>
      <c r="T19" s="22" t="n">
        <v>26</v>
      </c>
      <c r="U19" s="22" t="n">
        <v>14</v>
      </c>
      <c r="V19" s="16" t="s">
        <v>269</v>
      </c>
      <c r="W19" s="20"/>
      <c r="X19" s="20"/>
      <c r="Y19" s="21"/>
      <c r="Z19" s="21"/>
      <c r="AA19" s="16"/>
      <c r="AB19" s="20"/>
      <c r="AC19" s="16" t="n">
        <v>2</v>
      </c>
      <c r="AD19" s="16" t="n">
        <v>0</v>
      </c>
      <c r="AE19" s="16" t="n">
        <v>0</v>
      </c>
      <c r="AF19" s="16" t="n">
        <v>1</v>
      </c>
      <c r="AG19" s="16" t="n">
        <v>0</v>
      </c>
      <c r="AH19" s="16" t="n">
        <v>0</v>
      </c>
      <c r="AI19" s="16" t="n">
        <v>0</v>
      </c>
      <c r="AJ19" s="16" t="s">
        <v>105</v>
      </c>
      <c r="AK19" s="23" t="str">
        <f aca="false">IF(N(AG19)&gt;0,"14-50R (50A)",IF(N(AF19)&gt;0,"L14-30R (30A)","None - 120V only"))</f>
        <v>L14-30R (30A)</v>
      </c>
      <c r="AL19" s="24" t="n">
        <f aca="false">INDEX(Compatibility!$C$2:$C$5,MATCH(AK19,Compatibility!$A$2:$A$5,0))</f>
        <v>7200</v>
      </c>
      <c r="AM19" s="24" t="n">
        <f aca="false">IF(ISNUMBER(K19),MIN(K19,AL19),"")</f>
        <v>5500</v>
      </c>
      <c r="AN19" s="24" t="n">
        <f aca="false">IF(ISNUMBER(Q19),MIN(Q19,AL19),"")</f>
        <v>5225</v>
      </c>
      <c r="AO19" s="24" t="str">
        <f aca="false">IF(ISNUMBER(X19),MIN(X19,AL19),"")</f>
        <v/>
      </c>
      <c r="AP19" s="25" t="str">
        <f aca="false">INDEX(Compatibility!$D$2:$D$5,MATCH(AK19,Compatibility!$A$2:$A$5,0))</f>
        <v>PB30, PBN30 (30A L14-30 inlet)</v>
      </c>
      <c r="AQ19" s="25" t="str">
        <f aca="false">INDEX(Compatibility!$E$2:$E$5,MATCH(AK19,Compatibility!$A$2:$A$5,0))</f>
        <v>XP3010GC, XP3025GC, XP3050GC, PC3040 (L14-30P to L14-30R)</v>
      </c>
      <c r="AR19" s="25" t="str">
        <f aca="false">INDEX(Compatibility!$F$2:$F$5,MATCH(AK19,Compatibility!$A$2:$A$5,0))</f>
        <v>30A / 6 circuit: 306A, R306A (outdoor), 306C, 306D, 306CRK (kit); 30A / 10 circuit: 310C, 310D, 310CRK (kit), R310A (outdoor), 310CDKN (kit)</v>
      </c>
      <c r="AS19" s="25" t="str">
        <f aca="false">INDEX(Compatibility!$G$2:$G$5,MATCH(AK19,Compatibility!$A$2:$A$5,0))</f>
        <v>30A 2-pole backfeed breaker (panel brand) + GenInterlock kit for panel</v>
      </c>
      <c r="AT19" s="16" t="s">
        <v>201</v>
      </c>
      <c r="AU19" s="16" t="s">
        <v>105</v>
      </c>
      <c r="AV19" s="25" t="str">
        <f aca="false">IF(I19&lt;&gt;"Yes","120V only - extension cords / furnace switch",IF(AT19="Floating","Floating neutral: standard 2-pole transfer switch or interlock kit as-is",IF(AT19="Bonded",IF(AU19="Yes","Bonded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Bonded neutral: have an electrician remove the bond (DuroMax instructions) for 2-pole switch / interlock, or use a neutral-switching (3-pole) switch</v>
      </c>
      <c r="AW19" s="18" t="s">
        <v>270</v>
      </c>
      <c r="AX19" s="26" t="s">
        <v>271</v>
      </c>
      <c r="AY19" s="26" t="s">
        <v>272</v>
      </c>
      <c r="AZ19" s="16" t="s">
        <v>109</v>
      </c>
      <c r="BA19" s="16" t="n">
        <v>320</v>
      </c>
      <c r="BB19" s="16" t="n">
        <v>3600</v>
      </c>
      <c r="BC19" s="16" t="s">
        <v>273</v>
      </c>
      <c r="BD19" s="16" t="s">
        <v>105</v>
      </c>
      <c r="BE19" s="16" t="s">
        <v>111</v>
      </c>
      <c r="BF19" s="16" t="n">
        <v>23.7</v>
      </c>
      <c r="BG19" s="16" t="s">
        <v>105</v>
      </c>
      <c r="BH19" s="16" t="s">
        <v>105</v>
      </c>
      <c r="BI19" s="16" t="s">
        <v>103</v>
      </c>
      <c r="BJ19" s="16" t="s">
        <v>112</v>
      </c>
      <c r="BK19" s="16" t="n">
        <v>60</v>
      </c>
      <c r="BL19" s="16" t="s">
        <v>260</v>
      </c>
      <c r="BM19" s="16" t="s">
        <v>105</v>
      </c>
      <c r="BN19" s="16" t="s">
        <v>113</v>
      </c>
      <c r="BO19" s="22" t="n">
        <v>3</v>
      </c>
      <c r="BP19" s="16" t="s">
        <v>274</v>
      </c>
      <c r="BQ19" s="16"/>
      <c r="BR19" s="16"/>
      <c r="BS19" s="16" t="n">
        <v>62</v>
      </c>
      <c r="BT19" s="16" t="s">
        <v>127</v>
      </c>
      <c r="BU19" s="16" t="s">
        <v>105</v>
      </c>
      <c r="BV19" s="16" t="s">
        <v>105</v>
      </c>
      <c r="BW19" s="16" t="s">
        <v>105</v>
      </c>
      <c r="BX19" s="18" t="s">
        <v>275</v>
      </c>
      <c r="BY19" s="26" t="s">
        <v>276</v>
      </c>
      <c r="BZ19" s="26" t="s">
        <v>277</v>
      </c>
      <c r="CA19" s="18" t="s">
        <v>278</v>
      </c>
    </row>
    <row r="20" customFormat="false" ht="42" hidden="false" customHeight="true" outlineLevel="0" collapsed="false">
      <c r="A20" s="16" t="s">
        <v>98</v>
      </c>
      <c r="B20" s="17" t="s">
        <v>279</v>
      </c>
      <c r="C20" s="18" t="s">
        <v>280</v>
      </c>
      <c r="D20" s="16" t="s">
        <v>252</v>
      </c>
      <c r="E20" s="16" t="s">
        <v>151</v>
      </c>
      <c r="F20" s="16" t="s">
        <v>103</v>
      </c>
      <c r="G20" s="19" t="n">
        <v>1799</v>
      </c>
      <c r="H20" s="16" t="s">
        <v>122</v>
      </c>
      <c r="I20" s="16" t="s">
        <v>105</v>
      </c>
      <c r="J20" s="20" t="n">
        <v>7000</v>
      </c>
      <c r="K20" s="20" t="n">
        <v>5500</v>
      </c>
      <c r="L20" s="21" t="n">
        <v>45.83</v>
      </c>
      <c r="M20" s="21" t="n">
        <v>22.92</v>
      </c>
      <c r="N20" s="22" t="n">
        <v>16</v>
      </c>
      <c r="O20" s="22" t="n">
        <v>8</v>
      </c>
      <c r="P20" s="20" t="n">
        <v>6650</v>
      </c>
      <c r="Q20" s="20" t="n">
        <v>5225</v>
      </c>
      <c r="R20" s="21" t="n">
        <v>43.54</v>
      </c>
      <c r="S20" s="21" t="n">
        <v>21.77</v>
      </c>
      <c r="T20" s="22" t="n">
        <v>26</v>
      </c>
      <c r="U20" s="22" t="n">
        <v>14</v>
      </c>
      <c r="V20" s="16" t="s">
        <v>269</v>
      </c>
      <c r="W20" s="20" t="n">
        <v>6000</v>
      </c>
      <c r="X20" s="20" t="n">
        <v>4750</v>
      </c>
      <c r="Y20" s="21" t="n">
        <v>39.58</v>
      </c>
      <c r="Z20" s="21" t="n">
        <v>19.79</v>
      </c>
      <c r="AA20" s="16" t="s">
        <v>152</v>
      </c>
      <c r="AB20" s="20" t="n">
        <v>121000</v>
      </c>
      <c r="AC20" s="16" t="n">
        <v>2</v>
      </c>
      <c r="AD20" s="16" t="n">
        <v>0</v>
      </c>
      <c r="AE20" s="16" t="n">
        <v>0</v>
      </c>
      <c r="AF20" s="16" t="n">
        <v>1</v>
      </c>
      <c r="AG20" s="16" t="n">
        <v>0</v>
      </c>
      <c r="AH20" s="16" t="n">
        <v>0</v>
      </c>
      <c r="AI20" s="16" t="n">
        <v>0</v>
      </c>
      <c r="AJ20" s="16" t="s">
        <v>105</v>
      </c>
      <c r="AK20" s="23" t="str">
        <f aca="false">IF(N(AG20)&gt;0,"14-50R (50A)",IF(N(AF20)&gt;0,"L14-30R (30A)","None - 120V only"))</f>
        <v>L14-30R (30A)</v>
      </c>
      <c r="AL20" s="24" t="n">
        <f aca="false">INDEX(Compatibility!$C$2:$C$5,MATCH(AK20,Compatibility!$A$2:$A$5,0))</f>
        <v>7200</v>
      </c>
      <c r="AM20" s="24" t="n">
        <f aca="false">IF(ISNUMBER(K20),MIN(K20,AL20),"")</f>
        <v>5500</v>
      </c>
      <c r="AN20" s="24" t="n">
        <f aca="false">IF(ISNUMBER(Q20),MIN(Q20,AL20),"")</f>
        <v>5225</v>
      </c>
      <c r="AO20" s="24" t="n">
        <f aca="false">IF(ISNUMBER(X20),MIN(X20,AL20),"")</f>
        <v>4750</v>
      </c>
      <c r="AP20" s="25" t="str">
        <f aca="false">INDEX(Compatibility!$D$2:$D$5,MATCH(AK20,Compatibility!$A$2:$A$5,0))</f>
        <v>PB30, PBN30 (30A L14-30 inlet)</v>
      </c>
      <c r="AQ20" s="25" t="str">
        <f aca="false">INDEX(Compatibility!$E$2:$E$5,MATCH(AK20,Compatibility!$A$2:$A$5,0))</f>
        <v>XP3010GC, XP3025GC, XP3050GC, PC3040 (L14-30P to L14-30R)</v>
      </c>
      <c r="AR20" s="25" t="str">
        <f aca="false">INDEX(Compatibility!$F$2:$F$5,MATCH(AK20,Compatibility!$A$2:$A$5,0))</f>
        <v>30A / 6 circuit: 306A, R306A (outdoor), 306C, 306D, 306CRK (kit); 30A / 10 circuit: 310C, 310D, 310CRK (kit), R310A (outdoor), 310CDKN (kit)</v>
      </c>
      <c r="AS20" s="25" t="str">
        <f aca="false">INDEX(Compatibility!$G$2:$G$5,MATCH(AK20,Compatibility!$A$2:$A$5,0))</f>
        <v>30A 2-pole backfeed breaker (panel brand) + GenInterlock kit for panel</v>
      </c>
      <c r="AT20" s="16" t="s">
        <v>201</v>
      </c>
      <c r="AU20" s="16" t="s">
        <v>105</v>
      </c>
      <c r="AV20" s="25" t="str">
        <f aca="false">IF(I20&lt;&gt;"Yes","120V only - extension cords / furnace switch",IF(AT20="Floating","Floating neutral: standard 2-pole transfer switch or interlock kit as-is",IF(AT20="Bonded",IF(AU20="Yes","Bonded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Bonded neutral: have an electrician remove the bond (DuroMax instructions) for 2-pole switch / interlock, or use a neutral-switching (3-pole) switch</v>
      </c>
      <c r="AW20" s="18" t="s">
        <v>281</v>
      </c>
      <c r="AX20" s="26" t="s">
        <v>282</v>
      </c>
      <c r="AY20" s="26" t="s">
        <v>283</v>
      </c>
      <c r="AZ20" s="16" t="s">
        <v>109</v>
      </c>
      <c r="BA20" s="16" t="n">
        <v>320</v>
      </c>
      <c r="BB20" s="16" t="n">
        <v>3600</v>
      </c>
      <c r="BC20" s="16" t="s">
        <v>273</v>
      </c>
      <c r="BD20" s="16" t="s">
        <v>105</v>
      </c>
      <c r="BE20" s="16" t="s">
        <v>111</v>
      </c>
      <c r="BF20" s="16" t="n">
        <v>23.7</v>
      </c>
      <c r="BG20" s="16" t="s">
        <v>105</v>
      </c>
      <c r="BH20" s="16" t="s">
        <v>105</v>
      </c>
      <c r="BI20" s="16" t="s">
        <v>103</v>
      </c>
      <c r="BJ20" s="16" t="s">
        <v>112</v>
      </c>
      <c r="BK20" s="16" t="n">
        <v>60</v>
      </c>
      <c r="BL20" s="16" t="s">
        <v>260</v>
      </c>
      <c r="BM20" s="16" t="s">
        <v>105</v>
      </c>
      <c r="BN20" s="16" t="s">
        <v>113</v>
      </c>
      <c r="BO20" s="22" t="n">
        <v>3</v>
      </c>
      <c r="BP20" s="16" t="s">
        <v>274</v>
      </c>
      <c r="BQ20" s="16"/>
      <c r="BR20" s="16"/>
      <c r="BS20" s="16" t="n">
        <v>62</v>
      </c>
      <c r="BT20" s="16" t="s">
        <v>127</v>
      </c>
      <c r="BU20" s="16" t="s">
        <v>105</v>
      </c>
      <c r="BV20" s="16" t="s">
        <v>105</v>
      </c>
      <c r="BW20" s="16" t="s">
        <v>105</v>
      </c>
      <c r="BX20" s="18" t="s">
        <v>284</v>
      </c>
      <c r="BY20" s="26" t="s">
        <v>285</v>
      </c>
      <c r="BZ20" s="26" t="s">
        <v>286</v>
      </c>
      <c r="CA20" s="18" t="s">
        <v>287</v>
      </c>
    </row>
    <row r="21" customFormat="false" ht="42" hidden="false" customHeight="true" outlineLevel="0" collapsed="false">
      <c r="A21" s="16" t="s">
        <v>98</v>
      </c>
      <c r="B21" s="17" t="s">
        <v>288</v>
      </c>
      <c r="C21" s="18" t="s">
        <v>289</v>
      </c>
      <c r="D21" s="16" t="s">
        <v>252</v>
      </c>
      <c r="E21" s="16" t="s">
        <v>102</v>
      </c>
      <c r="F21" s="16" t="s">
        <v>103</v>
      </c>
      <c r="G21" s="19" t="n">
        <v>1999</v>
      </c>
      <c r="H21" s="16" t="s">
        <v>122</v>
      </c>
      <c r="I21" s="16" t="s">
        <v>105</v>
      </c>
      <c r="J21" s="20" t="n">
        <v>9500</v>
      </c>
      <c r="K21" s="20" t="n">
        <v>7600</v>
      </c>
      <c r="L21" s="21" t="n">
        <v>63.33</v>
      </c>
      <c r="M21" s="21" t="n">
        <v>31.67</v>
      </c>
      <c r="N21" s="22" t="n">
        <v>21</v>
      </c>
      <c r="O21" s="22" t="n">
        <v>11</v>
      </c>
      <c r="P21" s="20" t="n">
        <v>9025</v>
      </c>
      <c r="Q21" s="20" t="n">
        <v>7200</v>
      </c>
      <c r="R21" s="21" t="n">
        <v>60</v>
      </c>
      <c r="S21" s="21" t="n">
        <v>30</v>
      </c>
      <c r="T21" s="22" t="n">
        <v>19</v>
      </c>
      <c r="U21" s="22" t="n">
        <v>10</v>
      </c>
      <c r="V21" s="16" t="s">
        <v>269</v>
      </c>
      <c r="W21" s="20"/>
      <c r="X21" s="20"/>
      <c r="Y21" s="21"/>
      <c r="Z21" s="21"/>
      <c r="AA21" s="16"/>
      <c r="AB21" s="20"/>
      <c r="AC21" s="16" t="n">
        <v>4</v>
      </c>
      <c r="AD21" s="16" t="n">
        <v>0</v>
      </c>
      <c r="AE21" s="16" t="n">
        <v>0</v>
      </c>
      <c r="AF21" s="16" t="n">
        <v>1</v>
      </c>
      <c r="AG21" s="16" t="n">
        <v>1</v>
      </c>
      <c r="AH21" s="16" t="n">
        <v>0</v>
      </c>
      <c r="AI21" s="16" t="n">
        <v>0</v>
      </c>
      <c r="AJ21" s="16" t="s">
        <v>105</v>
      </c>
      <c r="AK21" s="23" t="str">
        <f aca="false">IF(N(AG21)&gt;0,"14-50R (50A)",IF(N(AF21)&gt;0,"L14-30R (30A)","None - 120V only"))</f>
        <v>14-50R (50A)</v>
      </c>
      <c r="AL21" s="24" t="n">
        <f aca="false">INDEX(Compatibility!$C$2:$C$5,MATCH(AK21,Compatibility!$A$2:$A$5,0))</f>
        <v>12000</v>
      </c>
      <c r="AM21" s="24" t="n">
        <f aca="false">IF(ISNUMBER(K21),MIN(K21,AL21),"")</f>
        <v>7600</v>
      </c>
      <c r="AN21" s="24" t="n">
        <f aca="false">IF(ISNUMBER(Q21),MIN(Q21,AL21),"")</f>
        <v>7200</v>
      </c>
      <c r="AO21" s="24" t="str">
        <f aca="false">IF(ISNUMBER(X21),MIN(X21,AL21),"")</f>
        <v/>
      </c>
      <c r="AP21" s="25" t="str">
        <f aca="false">INDEX(Compatibility!$D$2:$D$5,MATCH(AK21,Compatibility!$A$2:$A$5,0))</f>
        <v>XP50PB, XP50PBN, PB50, PBN50 (50A CS6375 inlet)</v>
      </c>
      <c r="AQ21" s="25" t="str">
        <f aca="false">INDEX(Compatibility!$E$2:$E$5,MATCH(AK21,Compatibility!$A$2:$A$5,0))</f>
        <v>XP5015GC, XP5025GC, XP5050GC, PC5020-14, PC5025-14M (14-50P to CS6364)</v>
      </c>
      <c r="AR21" s="25" t="str">
        <f aca="false">INDEX(Compatibility!$F$2:$F$5,MATCH(AK21,Compatibility!$A$2:$A$5,0))</f>
        <v>50A / 10 circuit: R510A (outdoor), A510C, 510C, 510D; 50A / 6 circuit: 506C</v>
      </c>
      <c r="AS21" s="25" t="str">
        <f aca="false">INDEX(Compatibility!$G$2:$G$5,MATCH(AK21,Compatibility!$A$2:$A$5,0))</f>
        <v>50A 2-pole backfeed breaker (panel brand) + GenInterlock kit for panel</v>
      </c>
      <c r="AT21" s="16" t="s">
        <v>201</v>
      </c>
      <c r="AU21" s="16" t="s">
        <v>105</v>
      </c>
      <c r="AV21" s="25" t="str">
        <f aca="false">IF(I21&lt;&gt;"Yes","120V only - extension cords / furnace switch",IF(AT21="Floating","Floating neutral: standard 2-pole transfer switch or interlock kit as-is",IF(AT21="Bonded",IF(AU21="Yes","Bonded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Bonded neutral: have an electrician remove the bond (DuroMax instructions) for 2-pole switch / interlock, or use a neutral-switching (3-pole) switch</v>
      </c>
      <c r="AW21" s="18" t="s">
        <v>213</v>
      </c>
      <c r="AX21" s="26" t="s">
        <v>290</v>
      </c>
      <c r="AY21" s="26" t="s">
        <v>291</v>
      </c>
      <c r="AZ21" s="16" t="s">
        <v>109</v>
      </c>
      <c r="BA21" s="16" t="n">
        <v>459</v>
      </c>
      <c r="BB21" s="16" t="n">
        <v>3400</v>
      </c>
      <c r="BC21" s="16" t="s">
        <v>273</v>
      </c>
      <c r="BD21" s="16" t="s">
        <v>105</v>
      </c>
      <c r="BE21" s="16" t="s">
        <v>111</v>
      </c>
      <c r="BF21" s="16" t="n">
        <v>40.6</v>
      </c>
      <c r="BG21" s="16" t="s">
        <v>105</v>
      </c>
      <c r="BH21" s="16" t="s">
        <v>105</v>
      </c>
      <c r="BI21" s="16" t="s">
        <v>103</v>
      </c>
      <c r="BJ21" s="16" t="s">
        <v>112</v>
      </c>
      <c r="BK21" s="16" t="n">
        <v>60</v>
      </c>
      <c r="BL21" s="16" t="s">
        <v>260</v>
      </c>
      <c r="BM21" s="16"/>
      <c r="BN21" s="16" t="s">
        <v>292</v>
      </c>
      <c r="BO21" s="22" t="n">
        <v>7.1</v>
      </c>
      <c r="BP21" s="16" t="s">
        <v>293</v>
      </c>
      <c r="BQ21" s="16" t="n">
        <v>216</v>
      </c>
      <c r="BR21" s="16" t="n">
        <v>226</v>
      </c>
      <c r="BS21" s="16" t="n">
        <v>61</v>
      </c>
      <c r="BT21" s="16" t="s">
        <v>127</v>
      </c>
      <c r="BU21" s="16" t="s">
        <v>105</v>
      </c>
      <c r="BV21" s="16" t="s">
        <v>105</v>
      </c>
      <c r="BW21" s="16" t="s">
        <v>105</v>
      </c>
      <c r="BX21" s="18" t="s">
        <v>294</v>
      </c>
      <c r="BY21" s="26" t="s">
        <v>295</v>
      </c>
      <c r="BZ21" s="26" t="s">
        <v>296</v>
      </c>
      <c r="CA21" s="18" t="s">
        <v>297</v>
      </c>
    </row>
    <row r="22" customFormat="false" ht="42" hidden="false" customHeight="true" outlineLevel="0" collapsed="false">
      <c r="A22" s="16" t="s">
        <v>98</v>
      </c>
      <c r="B22" s="17" t="s">
        <v>298</v>
      </c>
      <c r="C22" s="18" t="s">
        <v>299</v>
      </c>
      <c r="D22" s="16" t="s">
        <v>252</v>
      </c>
      <c r="E22" s="16" t="s">
        <v>151</v>
      </c>
      <c r="F22" s="16" t="s">
        <v>103</v>
      </c>
      <c r="G22" s="19" t="n">
        <v>2099</v>
      </c>
      <c r="H22" s="16" t="s">
        <v>122</v>
      </c>
      <c r="I22" s="16" t="s">
        <v>105</v>
      </c>
      <c r="J22" s="20" t="n">
        <v>9500</v>
      </c>
      <c r="K22" s="20" t="n">
        <v>7600</v>
      </c>
      <c r="L22" s="21" t="n">
        <v>63.33</v>
      </c>
      <c r="M22" s="21" t="n">
        <v>31.67</v>
      </c>
      <c r="N22" s="22" t="n">
        <v>21</v>
      </c>
      <c r="O22" s="22" t="n">
        <v>11</v>
      </c>
      <c r="P22" s="20" t="n">
        <v>9025</v>
      </c>
      <c r="Q22" s="20" t="n">
        <v>7200</v>
      </c>
      <c r="R22" s="21" t="n">
        <v>60</v>
      </c>
      <c r="S22" s="21" t="n">
        <v>30</v>
      </c>
      <c r="T22" s="22" t="n">
        <v>19</v>
      </c>
      <c r="U22" s="22" t="n">
        <v>10</v>
      </c>
      <c r="V22" s="16" t="s">
        <v>269</v>
      </c>
      <c r="W22" s="20" t="n">
        <v>8200</v>
      </c>
      <c r="X22" s="20" t="n">
        <v>6500</v>
      </c>
      <c r="Y22" s="21" t="n">
        <v>54.16</v>
      </c>
      <c r="Z22" s="21" t="n">
        <v>27.08</v>
      </c>
      <c r="AA22" s="16" t="s">
        <v>152</v>
      </c>
      <c r="AB22" s="20" t="n">
        <v>176000</v>
      </c>
      <c r="AC22" s="16" t="n">
        <v>4</v>
      </c>
      <c r="AD22" s="16" t="n">
        <v>0</v>
      </c>
      <c r="AE22" s="16" t="n">
        <v>0</v>
      </c>
      <c r="AF22" s="16" t="n">
        <v>1</v>
      </c>
      <c r="AG22" s="16" t="n">
        <v>1</v>
      </c>
      <c r="AH22" s="16" t="n">
        <v>0</v>
      </c>
      <c r="AI22" s="16" t="n">
        <v>0</v>
      </c>
      <c r="AJ22" s="16" t="s">
        <v>105</v>
      </c>
      <c r="AK22" s="23" t="str">
        <f aca="false">IF(N(AG22)&gt;0,"14-50R (50A)",IF(N(AF22)&gt;0,"L14-30R (30A)","None - 120V only"))</f>
        <v>14-50R (50A)</v>
      </c>
      <c r="AL22" s="24" t="n">
        <f aca="false">INDEX(Compatibility!$C$2:$C$5,MATCH(AK22,Compatibility!$A$2:$A$5,0))</f>
        <v>12000</v>
      </c>
      <c r="AM22" s="24" t="n">
        <f aca="false">IF(ISNUMBER(K22),MIN(K22,AL22),"")</f>
        <v>7600</v>
      </c>
      <c r="AN22" s="24" t="n">
        <f aca="false">IF(ISNUMBER(Q22),MIN(Q22,AL22),"")</f>
        <v>7200</v>
      </c>
      <c r="AO22" s="24" t="n">
        <f aca="false">IF(ISNUMBER(X22),MIN(X22,AL22),"")</f>
        <v>6500</v>
      </c>
      <c r="AP22" s="25" t="str">
        <f aca="false">INDEX(Compatibility!$D$2:$D$5,MATCH(AK22,Compatibility!$A$2:$A$5,0))</f>
        <v>XP50PB, XP50PBN, PB50, PBN50 (50A CS6375 inlet)</v>
      </c>
      <c r="AQ22" s="25" t="str">
        <f aca="false">INDEX(Compatibility!$E$2:$E$5,MATCH(AK22,Compatibility!$A$2:$A$5,0))</f>
        <v>XP5015GC, XP5025GC, XP5050GC, PC5020-14, PC5025-14M (14-50P to CS6364)</v>
      </c>
      <c r="AR22" s="25" t="str">
        <f aca="false">INDEX(Compatibility!$F$2:$F$5,MATCH(AK22,Compatibility!$A$2:$A$5,0))</f>
        <v>50A / 10 circuit: R510A (outdoor), A510C, 510C, 510D; 50A / 6 circuit: 506C</v>
      </c>
      <c r="AS22" s="25" t="str">
        <f aca="false">INDEX(Compatibility!$G$2:$G$5,MATCH(AK22,Compatibility!$A$2:$A$5,0))</f>
        <v>50A 2-pole backfeed breaker (panel brand) + GenInterlock kit for panel</v>
      </c>
      <c r="AT22" s="16" t="s">
        <v>201</v>
      </c>
      <c r="AU22" s="16" t="s">
        <v>103</v>
      </c>
      <c r="AV22" s="25" t="str">
        <f aca="false">IF(I22&lt;&gt;"Yes","120V only - extension cords / furnace switch",IF(AT22="Floating","Floating neutral: standard 2-pole transfer switch or interlock kit as-is",IF(AT22="Bonded",IF(AU22="Yes","Bonded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Bonded neutral, no unbond instructions published: neutral-switching (3-pole) switch - confirm with DuroMax</v>
      </c>
      <c r="AW22" s="18" t="s">
        <v>281</v>
      </c>
      <c r="AX22" s="26" t="s">
        <v>300</v>
      </c>
      <c r="AY22" s="16"/>
      <c r="AZ22" s="16" t="s">
        <v>109</v>
      </c>
      <c r="BA22" s="16" t="n">
        <v>459</v>
      </c>
      <c r="BB22" s="16" t="n">
        <v>3400</v>
      </c>
      <c r="BC22" s="16" t="s">
        <v>273</v>
      </c>
      <c r="BD22" s="16" t="s">
        <v>105</v>
      </c>
      <c r="BE22" s="16" t="s">
        <v>111</v>
      </c>
      <c r="BF22" s="16" t="n">
        <v>40.6</v>
      </c>
      <c r="BG22" s="16" t="s">
        <v>105</v>
      </c>
      <c r="BH22" s="16" t="s">
        <v>105</v>
      </c>
      <c r="BI22" s="16" t="s">
        <v>103</v>
      </c>
      <c r="BJ22" s="16" t="s">
        <v>112</v>
      </c>
      <c r="BK22" s="16" t="n">
        <v>60</v>
      </c>
      <c r="BL22" s="16" t="s">
        <v>260</v>
      </c>
      <c r="BM22" s="16"/>
      <c r="BN22" s="16" t="s">
        <v>301</v>
      </c>
      <c r="BO22" s="22" t="n">
        <v>7.1</v>
      </c>
      <c r="BP22" s="16" t="s">
        <v>293</v>
      </c>
      <c r="BQ22" s="16" t="n">
        <v>216</v>
      </c>
      <c r="BR22" s="16" t="n">
        <v>226</v>
      </c>
      <c r="BS22" s="16" t="n">
        <v>61</v>
      </c>
      <c r="BT22" s="16" t="s">
        <v>127</v>
      </c>
      <c r="BU22" s="16" t="s">
        <v>105</v>
      </c>
      <c r="BV22" s="16" t="s">
        <v>105</v>
      </c>
      <c r="BW22" s="16" t="s">
        <v>105</v>
      </c>
      <c r="BX22" s="18" t="s">
        <v>302</v>
      </c>
      <c r="BY22" s="26" t="s">
        <v>303</v>
      </c>
      <c r="BZ22" s="26" t="s">
        <v>304</v>
      </c>
      <c r="CA22" s="18" t="s">
        <v>305</v>
      </c>
    </row>
    <row r="23" customFormat="false" ht="42" hidden="false" customHeight="true" outlineLevel="0" collapsed="false">
      <c r="A23" s="16" t="s">
        <v>98</v>
      </c>
      <c r="B23" s="17" t="s">
        <v>306</v>
      </c>
      <c r="C23" s="18" t="s">
        <v>307</v>
      </c>
      <c r="D23" s="16" t="s">
        <v>252</v>
      </c>
      <c r="E23" s="16" t="s">
        <v>102</v>
      </c>
      <c r="F23" s="16" t="s">
        <v>103</v>
      </c>
      <c r="G23" s="19" t="n">
        <v>2499</v>
      </c>
      <c r="H23" s="16" t="s">
        <v>122</v>
      </c>
      <c r="I23" s="16" t="s">
        <v>105</v>
      </c>
      <c r="J23" s="20" t="n">
        <v>11000</v>
      </c>
      <c r="K23" s="20" t="n">
        <v>9000</v>
      </c>
      <c r="L23" s="21" t="n">
        <v>75</v>
      </c>
      <c r="M23" s="21" t="n">
        <v>37.5</v>
      </c>
      <c r="N23" s="22" t="n">
        <v>18</v>
      </c>
      <c r="O23" s="22" t="n">
        <v>9</v>
      </c>
      <c r="P23" s="20" t="n">
        <v>10450</v>
      </c>
      <c r="Q23" s="20" t="n">
        <v>8550</v>
      </c>
      <c r="R23" s="21" t="n">
        <v>71.25</v>
      </c>
      <c r="S23" s="21" t="n">
        <v>35.63</v>
      </c>
      <c r="T23" s="22" t="n">
        <v>16</v>
      </c>
      <c r="U23" s="22" t="n">
        <v>8</v>
      </c>
      <c r="V23" s="16" t="s">
        <v>269</v>
      </c>
      <c r="W23" s="20"/>
      <c r="X23" s="20"/>
      <c r="Y23" s="21"/>
      <c r="Z23" s="21"/>
      <c r="AA23" s="16"/>
      <c r="AB23" s="20"/>
      <c r="AC23" s="16" t="n">
        <v>4</v>
      </c>
      <c r="AD23" s="16" t="n">
        <v>0</v>
      </c>
      <c r="AE23" s="16" t="n">
        <v>0</v>
      </c>
      <c r="AF23" s="16" t="n">
        <v>1</v>
      </c>
      <c r="AG23" s="16" t="n">
        <v>1</v>
      </c>
      <c r="AH23" s="16" t="n">
        <v>0</v>
      </c>
      <c r="AI23" s="16" t="n">
        <v>0</v>
      </c>
      <c r="AJ23" s="16" t="s">
        <v>105</v>
      </c>
      <c r="AK23" s="23" t="str">
        <f aca="false">IF(N(AG23)&gt;0,"14-50R (50A)",IF(N(AF23)&gt;0,"L14-30R (30A)","None - 120V only"))</f>
        <v>14-50R (50A)</v>
      </c>
      <c r="AL23" s="24" t="n">
        <f aca="false">INDEX(Compatibility!$C$2:$C$5,MATCH(AK23,Compatibility!$A$2:$A$5,0))</f>
        <v>12000</v>
      </c>
      <c r="AM23" s="24" t="n">
        <f aca="false">IF(ISNUMBER(K23),MIN(K23,AL23),"")</f>
        <v>9000</v>
      </c>
      <c r="AN23" s="24" t="n">
        <f aca="false">IF(ISNUMBER(Q23),MIN(Q23,AL23),"")</f>
        <v>8550</v>
      </c>
      <c r="AO23" s="24" t="str">
        <f aca="false">IF(ISNUMBER(X23),MIN(X23,AL23),"")</f>
        <v/>
      </c>
      <c r="AP23" s="25" t="str">
        <f aca="false">INDEX(Compatibility!$D$2:$D$5,MATCH(AK23,Compatibility!$A$2:$A$5,0))</f>
        <v>XP50PB, XP50PBN, PB50, PBN50 (50A CS6375 inlet)</v>
      </c>
      <c r="AQ23" s="25" t="str">
        <f aca="false">INDEX(Compatibility!$E$2:$E$5,MATCH(AK23,Compatibility!$A$2:$A$5,0))</f>
        <v>XP5015GC, XP5025GC, XP5050GC, PC5020-14, PC5025-14M (14-50P to CS6364)</v>
      </c>
      <c r="AR23" s="25" t="str">
        <f aca="false">INDEX(Compatibility!$F$2:$F$5,MATCH(AK23,Compatibility!$A$2:$A$5,0))</f>
        <v>50A / 10 circuit: R510A (outdoor), A510C, 510C, 510D; 50A / 6 circuit: 506C</v>
      </c>
      <c r="AS23" s="25" t="str">
        <f aca="false">INDEX(Compatibility!$G$2:$G$5,MATCH(AK23,Compatibility!$A$2:$A$5,0))</f>
        <v>50A 2-pole backfeed breaker (panel brand) + GenInterlock kit for panel</v>
      </c>
      <c r="AT23" s="16" t="s">
        <v>201</v>
      </c>
      <c r="AU23" s="16" t="s">
        <v>105</v>
      </c>
      <c r="AV23" s="25" t="str">
        <f aca="false">IF(I23&lt;&gt;"Yes","120V only - extension cords / furnace switch",IF(AT23="Floating","Floating neutral: standard 2-pole transfer switch or interlock kit as-is",IF(AT23="Bonded",IF(AU23="Yes","Bonded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Bonded neutral: have an electrician remove the bond (DuroMax instructions) for 2-pole switch / interlock, or use a neutral-switching (3-pole) switch</v>
      </c>
      <c r="AW23" s="18" t="s">
        <v>213</v>
      </c>
      <c r="AX23" s="26" t="s">
        <v>308</v>
      </c>
      <c r="AY23" s="26" t="s">
        <v>309</v>
      </c>
      <c r="AZ23" s="16" t="s">
        <v>109</v>
      </c>
      <c r="BA23" s="16" t="n">
        <v>459</v>
      </c>
      <c r="BB23" s="16" t="n">
        <v>3400</v>
      </c>
      <c r="BC23" s="16" t="s">
        <v>273</v>
      </c>
      <c r="BD23" s="16" t="s">
        <v>105</v>
      </c>
      <c r="BE23" s="16" t="s">
        <v>111</v>
      </c>
      <c r="BF23" s="16" t="n">
        <v>40.6</v>
      </c>
      <c r="BG23" s="16" t="s">
        <v>105</v>
      </c>
      <c r="BH23" s="16" t="s">
        <v>105</v>
      </c>
      <c r="BI23" s="16" t="s">
        <v>103</v>
      </c>
      <c r="BJ23" s="16" t="s">
        <v>112</v>
      </c>
      <c r="BK23" s="16" t="n">
        <v>60</v>
      </c>
      <c r="BL23" s="16" t="s">
        <v>260</v>
      </c>
      <c r="BM23" s="16"/>
      <c r="BN23" s="16" t="s">
        <v>301</v>
      </c>
      <c r="BO23" s="22" t="n">
        <v>7.1</v>
      </c>
      <c r="BP23" s="16" t="s">
        <v>293</v>
      </c>
      <c r="BQ23" s="16" t="n">
        <v>216</v>
      </c>
      <c r="BR23" s="16" t="n">
        <v>226</v>
      </c>
      <c r="BS23" s="16" t="n">
        <v>61</v>
      </c>
      <c r="BT23" s="16" t="s">
        <v>127</v>
      </c>
      <c r="BU23" s="16" t="s">
        <v>105</v>
      </c>
      <c r="BV23" s="16" t="s">
        <v>105</v>
      </c>
      <c r="BW23" s="16" t="s">
        <v>105</v>
      </c>
      <c r="BX23" s="18" t="s">
        <v>310</v>
      </c>
      <c r="BY23" s="26" t="s">
        <v>311</v>
      </c>
      <c r="BZ23" s="26" t="s">
        <v>312</v>
      </c>
      <c r="CA23" s="18" t="s">
        <v>313</v>
      </c>
    </row>
    <row r="24" customFormat="false" ht="42" hidden="false" customHeight="true" outlineLevel="0" collapsed="false">
      <c r="A24" s="16" t="s">
        <v>98</v>
      </c>
      <c r="B24" s="17" t="s">
        <v>314</v>
      </c>
      <c r="C24" s="18" t="s">
        <v>315</v>
      </c>
      <c r="D24" s="16" t="s">
        <v>252</v>
      </c>
      <c r="E24" s="16" t="s">
        <v>151</v>
      </c>
      <c r="F24" s="16" t="s">
        <v>103</v>
      </c>
      <c r="G24" s="19" t="n">
        <v>2899</v>
      </c>
      <c r="H24" s="16" t="s">
        <v>122</v>
      </c>
      <c r="I24" s="16" t="s">
        <v>105</v>
      </c>
      <c r="J24" s="20" t="n">
        <v>11000</v>
      </c>
      <c r="K24" s="20" t="n">
        <v>9000</v>
      </c>
      <c r="L24" s="21" t="n">
        <v>75</v>
      </c>
      <c r="M24" s="21" t="n">
        <v>37.5</v>
      </c>
      <c r="N24" s="22" t="n">
        <v>18</v>
      </c>
      <c r="O24" s="22" t="n">
        <v>9</v>
      </c>
      <c r="P24" s="20" t="n">
        <v>10450</v>
      </c>
      <c r="Q24" s="20" t="n">
        <v>8550</v>
      </c>
      <c r="R24" s="21" t="n">
        <v>71.25</v>
      </c>
      <c r="S24" s="21" t="n">
        <v>35.63</v>
      </c>
      <c r="T24" s="22" t="n">
        <v>16</v>
      </c>
      <c r="U24" s="22" t="n">
        <v>8</v>
      </c>
      <c r="V24" s="16" t="s">
        <v>269</v>
      </c>
      <c r="W24" s="20" t="n">
        <v>9500</v>
      </c>
      <c r="X24" s="20" t="n">
        <v>7700</v>
      </c>
      <c r="Y24" s="21" t="n">
        <v>64.17</v>
      </c>
      <c r="Z24" s="21" t="n">
        <v>32.08</v>
      </c>
      <c r="AA24" s="16" t="s">
        <v>152</v>
      </c>
      <c r="AB24" s="20" t="n">
        <v>204000</v>
      </c>
      <c r="AC24" s="16" t="n">
        <v>4</v>
      </c>
      <c r="AD24" s="16" t="n">
        <v>0</v>
      </c>
      <c r="AE24" s="16" t="n">
        <v>0</v>
      </c>
      <c r="AF24" s="16" t="n">
        <v>1</v>
      </c>
      <c r="AG24" s="16" t="n">
        <v>1</v>
      </c>
      <c r="AH24" s="16" t="n">
        <v>0</v>
      </c>
      <c r="AI24" s="16" t="n">
        <v>0</v>
      </c>
      <c r="AJ24" s="16" t="s">
        <v>105</v>
      </c>
      <c r="AK24" s="23" t="str">
        <f aca="false">IF(N(AG24)&gt;0,"14-50R (50A)",IF(N(AF24)&gt;0,"L14-30R (30A)","None - 120V only"))</f>
        <v>14-50R (50A)</v>
      </c>
      <c r="AL24" s="24" t="n">
        <f aca="false">INDEX(Compatibility!$C$2:$C$5,MATCH(AK24,Compatibility!$A$2:$A$5,0))</f>
        <v>12000</v>
      </c>
      <c r="AM24" s="24" t="n">
        <f aca="false">IF(ISNUMBER(K24),MIN(K24,AL24),"")</f>
        <v>9000</v>
      </c>
      <c r="AN24" s="24" t="n">
        <f aca="false">IF(ISNUMBER(Q24),MIN(Q24,AL24),"")</f>
        <v>8550</v>
      </c>
      <c r="AO24" s="24" t="n">
        <f aca="false">IF(ISNUMBER(X24),MIN(X24,AL24),"")</f>
        <v>7700</v>
      </c>
      <c r="AP24" s="25" t="str">
        <f aca="false">INDEX(Compatibility!$D$2:$D$5,MATCH(AK24,Compatibility!$A$2:$A$5,0))</f>
        <v>XP50PB, XP50PBN, PB50, PBN50 (50A CS6375 inlet)</v>
      </c>
      <c r="AQ24" s="25" t="str">
        <f aca="false">INDEX(Compatibility!$E$2:$E$5,MATCH(AK24,Compatibility!$A$2:$A$5,0))</f>
        <v>XP5015GC, XP5025GC, XP5050GC, PC5020-14, PC5025-14M (14-50P to CS6364)</v>
      </c>
      <c r="AR24" s="25" t="str">
        <f aca="false">INDEX(Compatibility!$F$2:$F$5,MATCH(AK24,Compatibility!$A$2:$A$5,0))</f>
        <v>50A / 10 circuit: R510A (outdoor), A510C, 510C, 510D; 50A / 6 circuit: 506C</v>
      </c>
      <c r="AS24" s="25" t="str">
        <f aca="false">INDEX(Compatibility!$G$2:$G$5,MATCH(AK24,Compatibility!$A$2:$A$5,0))</f>
        <v>50A 2-pole backfeed breaker (panel brand) + GenInterlock kit for panel</v>
      </c>
      <c r="AT24" s="16" t="s">
        <v>201</v>
      </c>
      <c r="AU24" s="16" t="s">
        <v>105</v>
      </c>
      <c r="AV24" s="25" t="str">
        <f aca="false">IF(I24&lt;&gt;"Yes","120V only - extension cords / furnace switch",IF(AT24="Floating","Floating neutral: standard 2-pole transfer switch or interlock kit as-is",IF(AT24="Bonded",IF(AU24="Yes","Bonded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Bonded neutral: have an electrician remove the bond (DuroMax instructions) for 2-pole switch / interlock, or use a neutral-switching (3-pole) switch</v>
      </c>
      <c r="AW24" s="18" t="s">
        <v>202</v>
      </c>
      <c r="AX24" s="26" t="s">
        <v>316</v>
      </c>
      <c r="AY24" s="26" t="s">
        <v>317</v>
      </c>
      <c r="AZ24" s="16" t="s">
        <v>109</v>
      </c>
      <c r="BA24" s="16" t="n">
        <v>459</v>
      </c>
      <c r="BB24" s="16" t="n">
        <v>3400</v>
      </c>
      <c r="BC24" s="16" t="s">
        <v>273</v>
      </c>
      <c r="BD24" s="16" t="s">
        <v>105</v>
      </c>
      <c r="BE24" s="16" t="s">
        <v>111</v>
      </c>
      <c r="BF24" s="16" t="n">
        <v>40.6</v>
      </c>
      <c r="BG24" s="16" t="s">
        <v>105</v>
      </c>
      <c r="BH24" s="16" t="s">
        <v>105</v>
      </c>
      <c r="BI24" s="16" t="s">
        <v>103</v>
      </c>
      <c r="BJ24" s="16" t="s">
        <v>112</v>
      </c>
      <c r="BK24" s="16" t="n">
        <v>60</v>
      </c>
      <c r="BL24" s="16" t="s">
        <v>260</v>
      </c>
      <c r="BM24" s="16"/>
      <c r="BN24" s="16" t="s">
        <v>301</v>
      </c>
      <c r="BO24" s="22" t="n">
        <v>7.1</v>
      </c>
      <c r="BP24" s="16" t="s">
        <v>293</v>
      </c>
      <c r="BQ24" s="16" t="n">
        <v>216</v>
      </c>
      <c r="BR24" s="16"/>
      <c r="BS24" s="16" t="n">
        <v>61</v>
      </c>
      <c r="BT24" s="16" t="s">
        <v>127</v>
      </c>
      <c r="BU24" s="16" t="s">
        <v>105</v>
      </c>
      <c r="BV24" s="16" t="s">
        <v>105</v>
      </c>
      <c r="BW24" s="16" t="s">
        <v>105</v>
      </c>
      <c r="BX24" s="18" t="s">
        <v>318</v>
      </c>
      <c r="BY24" s="26" t="s">
        <v>319</v>
      </c>
      <c r="BZ24" s="26" t="s">
        <v>320</v>
      </c>
      <c r="CA24" s="18" t="s">
        <v>321</v>
      </c>
    </row>
    <row r="25" customFormat="false" ht="42" hidden="false" customHeight="true" outlineLevel="0" collapsed="false">
      <c r="A25" s="16" t="s">
        <v>98</v>
      </c>
      <c r="B25" s="17" t="s">
        <v>322</v>
      </c>
      <c r="C25" s="18" t="s">
        <v>323</v>
      </c>
      <c r="D25" s="16" t="s">
        <v>252</v>
      </c>
      <c r="E25" s="16" t="s">
        <v>102</v>
      </c>
      <c r="F25" s="16" t="s">
        <v>103</v>
      </c>
      <c r="G25" s="19" t="n">
        <v>2699</v>
      </c>
      <c r="H25" s="16" t="s">
        <v>122</v>
      </c>
      <c r="I25" s="16" t="s">
        <v>105</v>
      </c>
      <c r="J25" s="20" t="n">
        <v>13500</v>
      </c>
      <c r="K25" s="20" t="n">
        <v>10500</v>
      </c>
      <c r="L25" s="21" t="n">
        <v>87.5</v>
      </c>
      <c r="M25" s="21" t="n">
        <v>43.75</v>
      </c>
      <c r="N25" s="22" t="n">
        <v>19.9</v>
      </c>
      <c r="O25" s="22" t="n">
        <v>10.8</v>
      </c>
      <c r="P25" s="20" t="n">
        <v>12750</v>
      </c>
      <c r="Q25" s="20" t="n">
        <v>10000</v>
      </c>
      <c r="R25" s="21" t="n">
        <v>83.33</v>
      </c>
      <c r="S25" s="21" t="n">
        <v>41.66</v>
      </c>
      <c r="T25" s="22" t="n">
        <v>16.9</v>
      </c>
      <c r="U25" s="22" t="n">
        <v>9.2</v>
      </c>
      <c r="V25" s="16" t="s">
        <v>324</v>
      </c>
      <c r="W25" s="20"/>
      <c r="X25" s="20"/>
      <c r="Y25" s="21"/>
      <c r="Z25" s="21"/>
      <c r="AA25" s="16"/>
      <c r="AB25" s="20"/>
      <c r="AC25" s="16" t="n">
        <v>2</v>
      </c>
      <c r="AD25" s="16"/>
      <c r="AE25" s="16"/>
      <c r="AF25" s="16" t="n">
        <v>1</v>
      </c>
      <c r="AG25" s="16" t="n">
        <v>1</v>
      </c>
      <c r="AH25" s="16"/>
      <c r="AI25" s="16"/>
      <c r="AJ25" s="16" t="s">
        <v>105</v>
      </c>
      <c r="AK25" s="23" t="str">
        <f aca="false">IF(N(AG25)&gt;0,"14-50R (50A)",IF(N(AF25)&gt;0,"L14-30R (30A)","None - 120V only"))</f>
        <v>14-50R (50A)</v>
      </c>
      <c r="AL25" s="24" t="n">
        <f aca="false">INDEX(Compatibility!$C$2:$C$5,MATCH(AK25,Compatibility!$A$2:$A$5,0))</f>
        <v>12000</v>
      </c>
      <c r="AM25" s="24" t="n">
        <f aca="false">IF(ISNUMBER(K25),MIN(K25,AL25),"")</f>
        <v>10500</v>
      </c>
      <c r="AN25" s="24" t="n">
        <f aca="false">IF(ISNUMBER(Q25),MIN(Q25,AL25),"")</f>
        <v>10000</v>
      </c>
      <c r="AO25" s="24" t="str">
        <f aca="false">IF(ISNUMBER(X25),MIN(X25,AL25),"")</f>
        <v/>
      </c>
      <c r="AP25" s="25" t="str">
        <f aca="false">INDEX(Compatibility!$D$2:$D$5,MATCH(AK25,Compatibility!$A$2:$A$5,0))</f>
        <v>XP50PB, XP50PBN, PB50, PBN50 (50A CS6375 inlet)</v>
      </c>
      <c r="AQ25" s="25" t="str">
        <f aca="false">INDEX(Compatibility!$E$2:$E$5,MATCH(AK25,Compatibility!$A$2:$A$5,0))</f>
        <v>XP5015GC, XP5025GC, XP5050GC, PC5020-14, PC5025-14M (14-50P to CS6364)</v>
      </c>
      <c r="AR25" s="25" t="str">
        <f aca="false">INDEX(Compatibility!$F$2:$F$5,MATCH(AK25,Compatibility!$A$2:$A$5,0))</f>
        <v>50A / 10 circuit: R510A (outdoor), A510C, 510C, 510D; 50A / 6 circuit: 506C</v>
      </c>
      <c r="AS25" s="25" t="str">
        <f aca="false">INDEX(Compatibility!$G$2:$G$5,MATCH(AK25,Compatibility!$A$2:$A$5,0))</f>
        <v>50A 2-pole backfeed breaker (panel brand) + GenInterlock kit for panel</v>
      </c>
      <c r="AT25" s="16" t="s">
        <v>201</v>
      </c>
      <c r="AU25" s="16" t="s">
        <v>105</v>
      </c>
      <c r="AV25" s="25" t="str">
        <f aca="false">IF(I25&lt;&gt;"Yes","120V only - extension cords / furnace switch",IF(AT25="Floating","Floating neutral: standard 2-pole transfer switch or interlock kit as-is",IF(AT25="Bonded",IF(AU25="Yes","Bonded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Bonded neutral: have an electrician remove the bond (DuroMax instructions) for 2-pole switch / interlock, or use a neutral-switching (3-pole) switch</v>
      </c>
      <c r="AW25" s="18" t="s">
        <v>281</v>
      </c>
      <c r="AX25" s="26" t="s">
        <v>325</v>
      </c>
      <c r="AY25" s="26" t="s">
        <v>326</v>
      </c>
      <c r="AZ25" s="16" t="s">
        <v>109</v>
      </c>
      <c r="BA25" s="16" t="n">
        <v>550</v>
      </c>
      <c r="BB25" s="16" t="n">
        <v>3600</v>
      </c>
      <c r="BC25" s="16" t="s">
        <v>327</v>
      </c>
      <c r="BD25" s="16" t="s">
        <v>105</v>
      </c>
      <c r="BE25" s="16" t="s">
        <v>111</v>
      </c>
      <c r="BF25" s="16" t="n">
        <v>50.7</v>
      </c>
      <c r="BG25" s="16" t="s">
        <v>105</v>
      </c>
      <c r="BH25" s="16" t="s">
        <v>105</v>
      </c>
      <c r="BI25" s="16" t="s">
        <v>103</v>
      </c>
      <c r="BJ25" s="16" t="s">
        <v>112</v>
      </c>
      <c r="BK25" s="16" t="n">
        <v>60</v>
      </c>
      <c r="BL25" s="16" t="s">
        <v>260</v>
      </c>
      <c r="BM25" s="16"/>
      <c r="BN25" s="16" t="s">
        <v>301</v>
      </c>
      <c r="BO25" s="22" t="n">
        <v>8</v>
      </c>
      <c r="BP25" s="16" t="s">
        <v>328</v>
      </c>
      <c r="BQ25" s="16" t="n">
        <v>234</v>
      </c>
      <c r="BR25" s="16"/>
      <c r="BS25" s="16" t="n">
        <v>66</v>
      </c>
      <c r="BT25" s="16" t="s">
        <v>187</v>
      </c>
      <c r="BU25" s="16"/>
      <c r="BV25" s="16" t="s">
        <v>105</v>
      </c>
      <c r="BW25" s="16" t="s">
        <v>105</v>
      </c>
      <c r="BX25" s="18" t="s">
        <v>329</v>
      </c>
      <c r="BY25" s="26" t="s">
        <v>330</v>
      </c>
      <c r="BZ25" s="26" t="s">
        <v>331</v>
      </c>
      <c r="CA25" s="18" t="s">
        <v>332</v>
      </c>
    </row>
    <row r="26" customFormat="false" ht="42" hidden="false" customHeight="true" outlineLevel="0" collapsed="false">
      <c r="A26" s="16" t="s">
        <v>98</v>
      </c>
      <c r="B26" s="17" t="s">
        <v>333</v>
      </c>
      <c r="C26" s="18" t="s">
        <v>334</v>
      </c>
      <c r="D26" s="16" t="s">
        <v>252</v>
      </c>
      <c r="E26" s="16" t="s">
        <v>151</v>
      </c>
      <c r="F26" s="16" t="s">
        <v>103</v>
      </c>
      <c r="G26" s="19" t="n">
        <v>2999</v>
      </c>
      <c r="H26" s="16" t="s">
        <v>122</v>
      </c>
      <c r="I26" s="16" t="s">
        <v>105</v>
      </c>
      <c r="J26" s="20" t="n">
        <v>13500</v>
      </c>
      <c r="K26" s="20" t="n">
        <v>10500</v>
      </c>
      <c r="L26" s="21" t="n">
        <v>87.5</v>
      </c>
      <c r="M26" s="21" t="n">
        <v>43.75</v>
      </c>
      <c r="N26" s="22" t="n">
        <v>19.9</v>
      </c>
      <c r="O26" s="22" t="n">
        <v>10.8</v>
      </c>
      <c r="P26" s="20" t="n">
        <v>12750</v>
      </c>
      <c r="Q26" s="20" t="n">
        <v>10000</v>
      </c>
      <c r="R26" s="21" t="n">
        <v>83.33</v>
      </c>
      <c r="S26" s="21" t="n">
        <v>41.66</v>
      </c>
      <c r="T26" s="22" t="n">
        <v>16.9</v>
      </c>
      <c r="U26" s="22" t="n">
        <v>9.2</v>
      </c>
      <c r="V26" s="16" t="s">
        <v>324</v>
      </c>
      <c r="W26" s="20" t="n">
        <v>11500</v>
      </c>
      <c r="X26" s="20" t="n">
        <v>9000</v>
      </c>
      <c r="Y26" s="21" t="n">
        <v>75</v>
      </c>
      <c r="Z26" s="21" t="n">
        <v>37.5</v>
      </c>
      <c r="AA26" s="16" t="s">
        <v>181</v>
      </c>
      <c r="AB26" s="20" t="n">
        <v>225000</v>
      </c>
      <c r="AC26" s="16" t="n">
        <v>2</v>
      </c>
      <c r="AD26" s="16"/>
      <c r="AE26" s="16"/>
      <c r="AF26" s="16" t="n">
        <v>1</v>
      </c>
      <c r="AG26" s="16" t="n">
        <v>1</v>
      </c>
      <c r="AH26" s="16"/>
      <c r="AI26" s="16"/>
      <c r="AJ26" s="16" t="s">
        <v>105</v>
      </c>
      <c r="AK26" s="23" t="str">
        <f aca="false">IF(N(AG26)&gt;0,"14-50R (50A)",IF(N(AF26)&gt;0,"L14-30R (30A)","None - 120V only"))</f>
        <v>14-50R (50A)</v>
      </c>
      <c r="AL26" s="24" t="n">
        <f aca="false">INDEX(Compatibility!$C$2:$C$5,MATCH(AK26,Compatibility!$A$2:$A$5,0))</f>
        <v>12000</v>
      </c>
      <c r="AM26" s="24" t="n">
        <f aca="false">IF(ISNUMBER(K26),MIN(K26,AL26),"")</f>
        <v>10500</v>
      </c>
      <c r="AN26" s="24" t="n">
        <f aca="false">IF(ISNUMBER(Q26),MIN(Q26,AL26),"")</f>
        <v>10000</v>
      </c>
      <c r="AO26" s="24" t="n">
        <f aca="false">IF(ISNUMBER(X26),MIN(X26,AL26),"")</f>
        <v>9000</v>
      </c>
      <c r="AP26" s="25" t="str">
        <f aca="false">INDEX(Compatibility!$D$2:$D$5,MATCH(AK26,Compatibility!$A$2:$A$5,0))</f>
        <v>XP50PB, XP50PBN, PB50, PBN50 (50A CS6375 inlet)</v>
      </c>
      <c r="AQ26" s="25" t="str">
        <f aca="false">INDEX(Compatibility!$E$2:$E$5,MATCH(AK26,Compatibility!$A$2:$A$5,0))</f>
        <v>XP5015GC, XP5025GC, XP5050GC, PC5020-14, PC5025-14M (14-50P to CS6364)</v>
      </c>
      <c r="AR26" s="25" t="str">
        <f aca="false">INDEX(Compatibility!$F$2:$F$5,MATCH(AK26,Compatibility!$A$2:$A$5,0))</f>
        <v>50A / 10 circuit: R510A (outdoor), A510C, 510C, 510D; 50A / 6 circuit: 506C</v>
      </c>
      <c r="AS26" s="25" t="str">
        <f aca="false">INDEX(Compatibility!$G$2:$G$5,MATCH(AK26,Compatibility!$A$2:$A$5,0))</f>
        <v>50A 2-pole backfeed breaker (panel brand) + GenInterlock kit for panel</v>
      </c>
      <c r="AT26" s="16" t="s">
        <v>201</v>
      </c>
      <c r="AU26" s="16" t="s">
        <v>105</v>
      </c>
      <c r="AV26" s="25" t="str">
        <f aca="false">IF(I26&lt;&gt;"Yes","120V only - extension cords / furnace switch",IF(AT26="Floating","Floating neutral: standard 2-pole transfer switch or interlock kit as-is",IF(AT26="Bonded",IF(AU26="Yes","Bonded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Bonded neutral: have an electrician remove the bond (DuroMax instructions) for 2-pole switch / interlock, or use a neutral-switching (3-pole) switch</v>
      </c>
      <c r="AW26" s="18" t="s">
        <v>335</v>
      </c>
      <c r="AX26" s="26" t="s">
        <v>336</v>
      </c>
      <c r="AY26" s="26" t="s">
        <v>337</v>
      </c>
      <c r="AZ26" s="16" t="s">
        <v>109</v>
      </c>
      <c r="BA26" s="16" t="n">
        <v>550</v>
      </c>
      <c r="BB26" s="16" t="n">
        <v>3600</v>
      </c>
      <c r="BC26" s="16" t="s">
        <v>327</v>
      </c>
      <c r="BD26" s="16" t="s">
        <v>105</v>
      </c>
      <c r="BE26" s="16" t="s">
        <v>111</v>
      </c>
      <c r="BF26" s="16" t="n">
        <v>50.7</v>
      </c>
      <c r="BG26" s="16" t="s">
        <v>105</v>
      </c>
      <c r="BH26" s="16" t="s">
        <v>105</v>
      </c>
      <c r="BI26" s="16" t="s">
        <v>103</v>
      </c>
      <c r="BJ26" s="16" t="s">
        <v>112</v>
      </c>
      <c r="BK26" s="16" t="n">
        <v>60</v>
      </c>
      <c r="BL26" s="16" t="s">
        <v>260</v>
      </c>
      <c r="BM26" s="16"/>
      <c r="BN26" s="16" t="s">
        <v>301</v>
      </c>
      <c r="BO26" s="22" t="n">
        <v>8</v>
      </c>
      <c r="BP26" s="16" t="s">
        <v>328</v>
      </c>
      <c r="BQ26" s="16" t="n">
        <v>234</v>
      </c>
      <c r="BR26" s="16"/>
      <c r="BS26" s="16" t="n">
        <v>66</v>
      </c>
      <c r="BT26" s="16" t="s">
        <v>187</v>
      </c>
      <c r="BU26" s="16"/>
      <c r="BV26" s="16" t="s">
        <v>105</v>
      </c>
      <c r="BW26" s="16" t="s">
        <v>105</v>
      </c>
      <c r="BX26" s="18" t="s">
        <v>338</v>
      </c>
      <c r="BY26" s="26" t="s">
        <v>339</v>
      </c>
      <c r="BZ26" s="26" t="s">
        <v>340</v>
      </c>
      <c r="CA26" s="18" t="s">
        <v>341</v>
      </c>
    </row>
    <row r="27" customFormat="false" ht="42" hidden="false" customHeight="true" outlineLevel="0" collapsed="false">
      <c r="A27" s="16" t="s">
        <v>98</v>
      </c>
      <c r="B27" s="17" t="s">
        <v>342</v>
      </c>
      <c r="C27" s="18" t="s">
        <v>343</v>
      </c>
      <c r="D27" s="16" t="s">
        <v>252</v>
      </c>
      <c r="E27" s="16" t="s">
        <v>102</v>
      </c>
      <c r="F27" s="16" t="s">
        <v>103</v>
      </c>
      <c r="G27" s="19" t="n">
        <v>4999</v>
      </c>
      <c r="H27" s="16" t="s">
        <v>122</v>
      </c>
      <c r="I27" s="16" t="s">
        <v>105</v>
      </c>
      <c r="J27" s="20" t="n">
        <v>16000</v>
      </c>
      <c r="K27" s="20" t="n">
        <v>13000</v>
      </c>
      <c r="L27" s="21" t="n">
        <v>108.33</v>
      </c>
      <c r="M27" s="21" t="n">
        <v>54.17</v>
      </c>
      <c r="N27" s="22" t="n">
        <v>18.2</v>
      </c>
      <c r="O27" s="22" t="n">
        <v>10.5</v>
      </c>
      <c r="P27" s="20" t="n">
        <v>15200</v>
      </c>
      <c r="Q27" s="20" t="n">
        <v>12350</v>
      </c>
      <c r="R27" s="21" t="n">
        <v>102.92</v>
      </c>
      <c r="S27" s="21" t="n">
        <v>51.46</v>
      </c>
      <c r="T27" s="22" t="n">
        <v>11</v>
      </c>
      <c r="U27" s="22" t="n">
        <v>6</v>
      </c>
      <c r="V27" s="16" t="s">
        <v>269</v>
      </c>
      <c r="W27" s="20"/>
      <c r="X27" s="20"/>
      <c r="Y27" s="21"/>
      <c r="Z27" s="21"/>
      <c r="AA27" s="16"/>
      <c r="AB27" s="20"/>
      <c r="AC27" s="16" t="n">
        <v>4</v>
      </c>
      <c r="AD27" s="16"/>
      <c r="AE27" s="16"/>
      <c r="AF27" s="16"/>
      <c r="AG27" s="16" t="n">
        <v>2</v>
      </c>
      <c r="AH27" s="16"/>
      <c r="AI27" s="16"/>
      <c r="AJ27" s="16" t="s">
        <v>105</v>
      </c>
      <c r="AK27" s="23" t="str">
        <f aca="false">IF(N(AG27)&gt;0,"14-50R (50A)",IF(N(AF27)&gt;0,"L14-30R (30A)","None - 120V only"))</f>
        <v>14-50R (50A)</v>
      </c>
      <c r="AL27" s="24" t="n">
        <f aca="false">INDEX(Compatibility!$C$2:$C$5,MATCH(AK27,Compatibility!$A$2:$A$5,0))</f>
        <v>12000</v>
      </c>
      <c r="AM27" s="24" t="n">
        <f aca="false">IF(ISNUMBER(K27),MIN(K27,AL27),"")</f>
        <v>12000</v>
      </c>
      <c r="AN27" s="24" t="n">
        <f aca="false">IF(ISNUMBER(Q27),MIN(Q27,AL27),"")</f>
        <v>12000</v>
      </c>
      <c r="AO27" s="24" t="str">
        <f aca="false">IF(ISNUMBER(X27),MIN(X27,AL27),"")</f>
        <v/>
      </c>
      <c r="AP27" s="25" t="str">
        <f aca="false">INDEX(Compatibility!$D$2:$D$5,MATCH(AK27,Compatibility!$A$2:$A$5,0))</f>
        <v>XP50PB, XP50PBN, PB50, PBN50 (50A CS6375 inlet)</v>
      </c>
      <c r="AQ27" s="25" t="str">
        <f aca="false">INDEX(Compatibility!$E$2:$E$5,MATCH(AK27,Compatibility!$A$2:$A$5,0))</f>
        <v>XP5015GC, XP5025GC, XP5050GC, PC5020-14, PC5025-14M (14-50P to CS6364)</v>
      </c>
      <c r="AR27" s="25" t="str">
        <f aca="false">INDEX(Compatibility!$F$2:$F$5,MATCH(AK27,Compatibility!$A$2:$A$5,0))</f>
        <v>50A / 10 circuit: R510A (outdoor), A510C, 510C, 510D; 50A / 6 circuit: 506C</v>
      </c>
      <c r="AS27" s="25" t="str">
        <f aca="false">INDEX(Compatibility!$G$2:$G$5,MATCH(AK27,Compatibility!$A$2:$A$5,0))</f>
        <v>50A 2-pole backfeed breaker (panel brand) + GenInterlock kit for panel</v>
      </c>
      <c r="AT27" s="16" t="s">
        <v>201</v>
      </c>
      <c r="AU27" s="16" t="s">
        <v>105</v>
      </c>
      <c r="AV27" s="25" t="str">
        <f aca="false">IF(I27&lt;&gt;"Yes","120V only - extension cords / furnace switch",IF(AT27="Floating","Floating neutral: standard 2-pole transfer switch or interlock kit as-is",IF(AT27="Bonded",IF(AU27="Yes","Bonded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Bonded neutral: have an electrician remove the bond (DuroMax instructions) for 2-pole switch / interlock, or use a neutral-switching (3-pole) switch</v>
      </c>
      <c r="AW27" s="18" t="s">
        <v>213</v>
      </c>
      <c r="AX27" s="26" t="s">
        <v>344</v>
      </c>
      <c r="AY27" s="26" t="s">
        <v>345</v>
      </c>
      <c r="AZ27" s="16" t="s">
        <v>109</v>
      </c>
      <c r="BA27" s="16" t="n">
        <v>744</v>
      </c>
      <c r="BB27" s="16"/>
      <c r="BC27" s="16" t="s">
        <v>346</v>
      </c>
      <c r="BD27" s="16" t="s">
        <v>105</v>
      </c>
      <c r="BE27" s="16" t="s">
        <v>111</v>
      </c>
      <c r="BF27" s="16" t="n">
        <v>50.7</v>
      </c>
      <c r="BG27" s="16" t="s">
        <v>105</v>
      </c>
      <c r="BH27" s="16" t="s">
        <v>105</v>
      </c>
      <c r="BI27" s="16" t="s">
        <v>103</v>
      </c>
      <c r="BJ27" s="16" t="s">
        <v>112</v>
      </c>
      <c r="BK27" s="16" t="n">
        <v>60</v>
      </c>
      <c r="BL27" s="16" t="s">
        <v>260</v>
      </c>
      <c r="BM27" s="16" t="s">
        <v>105</v>
      </c>
      <c r="BN27" s="16" t="s">
        <v>301</v>
      </c>
      <c r="BO27" s="22" t="n">
        <v>10.5</v>
      </c>
      <c r="BP27" s="16" t="s">
        <v>347</v>
      </c>
      <c r="BQ27" s="16" t="n">
        <v>368</v>
      </c>
      <c r="BR27" s="16"/>
      <c r="BS27" s="16" t="n">
        <v>66.9</v>
      </c>
      <c r="BT27" s="16" t="s">
        <v>187</v>
      </c>
      <c r="BU27" s="16"/>
      <c r="BV27" s="16" t="s">
        <v>105</v>
      </c>
      <c r="BW27" s="16"/>
      <c r="BX27" s="18" t="s">
        <v>348</v>
      </c>
      <c r="BY27" s="26" t="s">
        <v>349</v>
      </c>
      <c r="BZ27" s="26" t="s">
        <v>350</v>
      </c>
      <c r="CA27" s="18" t="s">
        <v>351</v>
      </c>
    </row>
    <row r="28" customFormat="false" ht="42" hidden="false" customHeight="true" outlineLevel="0" collapsed="false">
      <c r="A28" s="16" t="s">
        <v>98</v>
      </c>
      <c r="B28" s="17" t="s">
        <v>352</v>
      </c>
      <c r="C28" s="18" t="s">
        <v>353</v>
      </c>
      <c r="D28" s="16" t="s">
        <v>252</v>
      </c>
      <c r="E28" s="16" t="s">
        <v>151</v>
      </c>
      <c r="F28" s="16" t="s">
        <v>103</v>
      </c>
      <c r="G28" s="19" t="n">
        <v>5299</v>
      </c>
      <c r="H28" s="16" t="s">
        <v>122</v>
      </c>
      <c r="I28" s="16" t="s">
        <v>105</v>
      </c>
      <c r="J28" s="20" t="n">
        <v>16000</v>
      </c>
      <c r="K28" s="20" t="n">
        <v>13000</v>
      </c>
      <c r="L28" s="21" t="n">
        <v>108.33</v>
      </c>
      <c r="M28" s="21" t="n">
        <v>54.17</v>
      </c>
      <c r="N28" s="22" t="n">
        <v>18.2</v>
      </c>
      <c r="O28" s="22" t="n">
        <v>10.5</v>
      </c>
      <c r="P28" s="20" t="n">
        <v>15200</v>
      </c>
      <c r="Q28" s="20" t="n">
        <v>12350</v>
      </c>
      <c r="R28" s="21" t="n">
        <v>102.92</v>
      </c>
      <c r="S28" s="21" t="n">
        <v>51.46</v>
      </c>
      <c r="T28" s="22" t="n">
        <v>11</v>
      </c>
      <c r="U28" s="22" t="n">
        <v>6</v>
      </c>
      <c r="V28" s="16" t="s">
        <v>269</v>
      </c>
      <c r="W28" s="20" t="n">
        <v>13800</v>
      </c>
      <c r="X28" s="20" t="n">
        <v>11200</v>
      </c>
      <c r="Y28" s="21" t="n">
        <v>93.33</v>
      </c>
      <c r="Z28" s="21" t="n">
        <v>46.66</v>
      </c>
      <c r="AA28" s="16" t="s">
        <v>152</v>
      </c>
      <c r="AB28" s="20" t="n">
        <v>295000</v>
      </c>
      <c r="AC28" s="16" t="n">
        <v>4</v>
      </c>
      <c r="AD28" s="16"/>
      <c r="AE28" s="16"/>
      <c r="AF28" s="16"/>
      <c r="AG28" s="16" t="n">
        <v>2</v>
      </c>
      <c r="AH28" s="16"/>
      <c r="AI28" s="16"/>
      <c r="AJ28" s="16" t="s">
        <v>105</v>
      </c>
      <c r="AK28" s="23" t="str">
        <f aca="false">IF(N(AG28)&gt;0,"14-50R (50A)",IF(N(AF28)&gt;0,"L14-30R (30A)","None - 120V only"))</f>
        <v>14-50R (50A)</v>
      </c>
      <c r="AL28" s="24" t="n">
        <f aca="false">INDEX(Compatibility!$C$2:$C$5,MATCH(AK28,Compatibility!$A$2:$A$5,0))</f>
        <v>12000</v>
      </c>
      <c r="AM28" s="24" t="n">
        <f aca="false">IF(ISNUMBER(K28),MIN(K28,AL28),"")</f>
        <v>12000</v>
      </c>
      <c r="AN28" s="24" t="n">
        <f aca="false">IF(ISNUMBER(Q28),MIN(Q28,AL28),"")</f>
        <v>12000</v>
      </c>
      <c r="AO28" s="24" t="n">
        <f aca="false">IF(ISNUMBER(X28),MIN(X28,AL28),"")</f>
        <v>11200</v>
      </c>
      <c r="AP28" s="25" t="str">
        <f aca="false">INDEX(Compatibility!$D$2:$D$5,MATCH(AK28,Compatibility!$A$2:$A$5,0))</f>
        <v>XP50PB, XP50PBN, PB50, PBN50 (50A CS6375 inlet)</v>
      </c>
      <c r="AQ28" s="25" t="str">
        <f aca="false">INDEX(Compatibility!$E$2:$E$5,MATCH(AK28,Compatibility!$A$2:$A$5,0))</f>
        <v>XP5015GC, XP5025GC, XP5050GC, PC5020-14, PC5025-14M (14-50P to CS6364)</v>
      </c>
      <c r="AR28" s="25" t="str">
        <f aca="false">INDEX(Compatibility!$F$2:$F$5,MATCH(AK28,Compatibility!$A$2:$A$5,0))</f>
        <v>50A / 10 circuit: R510A (outdoor), A510C, 510C, 510D; 50A / 6 circuit: 506C</v>
      </c>
      <c r="AS28" s="25" t="str">
        <f aca="false">INDEX(Compatibility!$G$2:$G$5,MATCH(AK28,Compatibility!$A$2:$A$5,0))</f>
        <v>50A 2-pole backfeed breaker (panel brand) + GenInterlock kit for panel</v>
      </c>
      <c r="AT28" s="16" t="s">
        <v>201</v>
      </c>
      <c r="AU28" s="16" t="s">
        <v>105</v>
      </c>
      <c r="AV28" s="25" t="str">
        <f aca="false">IF(I28&lt;&gt;"Yes","120V only - extension cords / furnace switch",IF(AT28="Floating","Floating neutral: standard 2-pole transfer switch or interlock kit as-is",IF(AT28="Bonded",IF(AU28="Yes","Bonded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Bonded neutral: have an electrician remove the bond (DuroMax instructions) for 2-pole switch / interlock, or use a neutral-switching (3-pole) switch</v>
      </c>
      <c r="AW28" s="18" t="s">
        <v>202</v>
      </c>
      <c r="AX28" s="26" t="s">
        <v>354</v>
      </c>
      <c r="AY28" s="26" t="s">
        <v>355</v>
      </c>
      <c r="AZ28" s="16" t="s">
        <v>109</v>
      </c>
      <c r="BA28" s="16" t="n">
        <v>744</v>
      </c>
      <c r="BB28" s="16"/>
      <c r="BC28" s="16" t="s">
        <v>346</v>
      </c>
      <c r="BD28" s="16" t="s">
        <v>105</v>
      </c>
      <c r="BE28" s="16" t="s">
        <v>111</v>
      </c>
      <c r="BF28" s="16" t="n">
        <v>50.7</v>
      </c>
      <c r="BG28" s="16" t="s">
        <v>105</v>
      </c>
      <c r="BH28" s="16" t="s">
        <v>105</v>
      </c>
      <c r="BI28" s="16" t="s">
        <v>103</v>
      </c>
      <c r="BJ28" s="16" t="s">
        <v>112</v>
      </c>
      <c r="BK28" s="16" t="n">
        <v>60</v>
      </c>
      <c r="BL28" s="16" t="s">
        <v>260</v>
      </c>
      <c r="BM28" s="16" t="s">
        <v>105</v>
      </c>
      <c r="BN28" s="16" t="s">
        <v>301</v>
      </c>
      <c r="BO28" s="22" t="n">
        <v>10.5</v>
      </c>
      <c r="BP28" s="16" t="s">
        <v>347</v>
      </c>
      <c r="BQ28" s="16" t="n">
        <v>368</v>
      </c>
      <c r="BR28" s="16"/>
      <c r="BS28" s="16" t="n">
        <v>66.9</v>
      </c>
      <c r="BT28" s="16" t="s">
        <v>187</v>
      </c>
      <c r="BU28" s="16" t="s">
        <v>105</v>
      </c>
      <c r="BV28" s="16" t="s">
        <v>105</v>
      </c>
      <c r="BW28" s="16" t="s">
        <v>105</v>
      </c>
      <c r="BX28" s="18" t="s">
        <v>356</v>
      </c>
      <c r="BY28" s="26" t="s">
        <v>357</v>
      </c>
      <c r="BZ28" s="26" t="s">
        <v>358</v>
      </c>
      <c r="CA28" s="18" t="s">
        <v>359</v>
      </c>
    </row>
    <row r="29" customFormat="false" ht="42" hidden="false" customHeight="true" outlineLevel="0" collapsed="false">
      <c r="A29" s="16" t="s">
        <v>98</v>
      </c>
      <c r="B29" s="17" t="s">
        <v>360</v>
      </c>
      <c r="C29" s="18" t="s">
        <v>361</v>
      </c>
      <c r="D29" s="16" t="s">
        <v>252</v>
      </c>
      <c r="E29" s="16" t="s">
        <v>102</v>
      </c>
      <c r="F29" s="16" t="s">
        <v>103</v>
      </c>
      <c r="G29" s="19" t="n">
        <v>7499</v>
      </c>
      <c r="H29" s="16" t="s">
        <v>122</v>
      </c>
      <c r="I29" s="16" t="s">
        <v>105</v>
      </c>
      <c r="J29" s="20" t="n">
        <v>28000</v>
      </c>
      <c r="K29" s="20" t="n">
        <v>22000</v>
      </c>
      <c r="L29" s="21" t="n">
        <v>183.3</v>
      </c>
      <c r="M29" s="21" t="n">
        <v>91.66</v>
      </c>
      <c r="N29" s="22" t="n">
        <v>16</v>
      </c>
      <c r="O29" s="22" t="n">
        <v>9</v>
      </c>
      <c r="P29" s="20" t="n">
        <v>25000</v>
      </c>
      <c r="Q29" s="20" t="n">
        <v>20000</v>
      </c>
      <c r="R29" s="21" t="n">
        <v>166.67</v>
      </c>
      <c r="S29" s="21" t="n">
        <v>83.3</v>
      </c>
      <c r="T29" s="22" t="n">
        <v>12</v>
      </c>
      <c r="U29" s="22" t="n">
        <v>6.67</v>
      </c>
      <c r="V29" s="16" t="s">
        <v>269</v>
      </c>
      <c r="W29" s="20"/>
      <c r="X29" s="20"/>
      <c r="Y29" s="21"/>
      <c r="Z29" s="21"/>
      <c r="AA29" s="16"/>
      <c r="AB29" s="20"/>
      <c r="AC29" s="16" t="n">
        <v>4</v>
      </c>
      <c r="AD29" s="16"/>
      <c r="AE29" s="16"/>
      <c r="AF29" s="16" t="n">
        <v>1</v>
      </c>
      <c r="AG29" s="16" t="n">
        <v>2</v>
      </c>
      <c r="AH29" s="16"/>
      <c r="AI29" s="16"/>
      <c r="AJ29" s="16" t="s">
        <v>105</v>
      </c>
      <c r="AK29" s="23" t="str">
        <f aca="false">IF(N(AG29)&gt;0,"14-50R (50A)",IF(N(AF29)&gt;0,"L14-30R (30A)","None - 120V only"))</f>
        <v>14-50R (50A)</v>
      </c>
      <c r="AL29" s="24" t="n">
        <f aca="false">INDEX(Compatibility!$C$2:$C$5,MATCH(AK29,Compatibility!$A$2:$A$5,0))</f>
        <v>12000</v>
      </c>
      <c r="AM29" s="24" t="n">
        <f aca="false">IF(ISNUMBER(K29),MIN(K29,AL29),"")</f>
        <v>12000</v>
      </c>
      <c r="AN29" s="24" t="n">
        <f aca="false">IF(ISNUMBER(Q29),MIN(Q29,AL29),"")</f>
        <v>12000</v>
      </c>
      <c r="AO29" s="24" t="str">
        <f aca="false">IF(ISNUMBER(X29),MIN(X29,AL29),"")</f>
        <v/>
      </c>
      <c r="AP29" s="25" t="str">
        <f aca="false">INDEX(Compatibility!$D$2:$D$5,MATCH(AK29,Compatibility!$A$2:$A$5,0))</f>
        <v>XP50PB, XP50PBN, PB50, PBN50 (50A CS6375 inlet)</v>
      </c>
      <c r="AQ29" s="25" t="str">
        <f aca="false">INDEX(Compatibility!$E$2:$E$5,MATCH(AK29,Compatibility!$A$2:$A$5,0))</f>
        <v>XP5015GC, XP5025GC, XP5050GC, PC5020-14, PC5025-14M (14-50P to CS6364)</v>
      </c>
      <c r="AR29" s="25" t="str">
        <f aca="false">INDEX(Compatibility!$F$2:$F$5,MATCH(AK29,Compatibility!$A$2:$A$5,0))</f>
        <v>50A / 10 circuit: R510A (outdoor), A510C, 510C, 510D; 50A / 6 circuit: 506C</v>
      </c>
      <c r="AS29" s="25" t="str">
        <f aca="false">INDEX(Compatibility!$G$2:$G$5,MATCH(AK29,Compatibility!$A$2:$A$5,0))</f>
        <v>50A 2-pole backfeed breaker (panel brand) + GenInterlock kit for panel</v>
      </c>
      <c r="AT29" s="16" t="s">
        <v>201</v>
      </c>
      <c r="AU29" s="16" t="s">
        <v>105</v>
      </c>
      <c r="AV29" s="25" t="str">
        <f aca="false">IF(I29&lt;&gt;"Yes","120V only - extension cords / furnace switch",IF(AT29="Floating","Floating neutral: standard 2-pole transfer switch or interlock kit as-is",IF(AT29="Bonded",IF(AU29="Yes","Bonded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Bonded neutral: have an electrician remove the bond (DuroMax instructions) for 2-pole switch / interlock, or use a neutral-switching (3-pole) switch</v>
      </c>
      <c r="AW29" s="18" t="s">
        <v>213</v>
      </c>
      <c r="AX29" s="26" t="s">
        <v>362</v>
      </c>
      <c r="AY29" s="26" t="s">
        <v>363</v>
      </c>
      <c r="AZ29" s="16" t="s">
        <v>109</v>
      </c>
      <c r="BA29" s="16" t="n">
        <v>999</v>
      </c>
      <c r="BB29" s="16"/>
      <c r="BC29" s="16" t="s">
        <v>346</v>
      </c>
      <c r="BD29" s="16" t="s">
        <v>105</v>
      </c>
      <c r="BE29" s="16" t="s">
        <v>111</v>
      </c>
      <c r="BF29" s="16" t="n">
        <v>84.5</v>
      </c>
      <c r="BG29" s="16" t="s">
        <v>105</v>
      </c>
      <c r="BH29" s="16" t="s">
        <v>105</v>
      </c>
      <c r="BI29" s="16" t="s">
        <v>103</v>
      </c>
      <c r="BJ29" s="16" t="s">
        <v>112</v>
      </c>
      <c r="BK29" s="16" t="n">
        <v>60</v>
      </c>
      <c r="BL29" s="16" t="s">
        <v>260</v>
      </c>
      <c r="BM29" s="16"/>
      <c r="BN29" s="16" t="s">
        <v>364</v>
      </c>
      <c r="BO29" s="22" t="n">
        <v>12.7</v>
      </c>
      <c r="BP29" s="16" t="s">
        <v>365</v>
      </c>
      <c r="BQ29" s="16" t="n">
        <v>466</v>
      </c>
      <c r="BR29" s="16"/>
      <c r="BS29" s="16" t="n">
        <v>70</v>
      </c>
      <c r="BT29" s="16" t="s">
        <v>187</v>
      </c>
      <c r="BU29" s="16"/>
      <c r="BV29" s="16" t="s">
        <v>105</v>
      </c>
      <c r="BW29" s="16" t="s">
        <v>105</v>
      </c>
      <c r="BX29" s="18" t="s">
        <v>366</v>
      </c>
      <c r="BY29" s="26" t="s">
        <v>367</v>
      </c>
      <c r="BZ29" s="26" t="s">
        <v>368</v>
      </c>
      <c r="CA29" s="18" t="s">
        <v>369</v>
      </c>
    </row>
    <row r="30" customFormat="false" ht="42" hidden="false" customHeight="true" outlineLevel="0" collapsed="false">
      <c r="A30" s="16" t="s">
        <v>98</v>
      </c>
      <c r="B30" s="17" t="s">
        <v>370</v>
      </c>
      <c r="C30" s="18" t="s">
        <v>371</v>
      </c>
      <c r="D30" s="16" t="s">
        <v>252</v>
      </c>
      <c r="E30" s="16" t="s">
        <v>151</v>
      </c>
      <c r="F30" s="16" t="s">
        <v>103</v>
      </c>
      <c r="G30" s="19" t="n">
        <v>7999</v>
      </c>
      <c r="H30" s="16" t="s">
        <v>122</v>
      </c>
      <c r="I30" s="16" t="s">
        <v>105</v>
      </c>
      <c r="J30" s="20" t="n">
        <v>28000</v>
      </c>
      <c r="K30" s="20" t="n">
        <v>22000</v>
      </c>
      <c r="L30" s="21" t="n">
        <v>183.3</v>
      </c>
      <c r="M30" s="21" t="n">
        <v>91.67</v>
      </c>
      <c r="N30" s="22" t="n">
        <v>16</v>
      </c>
      <c r="O30" s="22" t="n">
        <v>9</v>
      </c>
      <c r="P30" s="20" t="n">
        <v>25000</v>
      </c>
      <c r="Q30" s="20" t="n">
        <v>20000</v>
      </c>
      <c r="R30" s="21" t="n">
        <v>166.67</v>
      </c>
      <c r="S30" s="21" t="n">
        <v>83.3</v>
      </c>
      <c r="T30" s="22" t="n">
        <v>12</v>
      </c>
      <c r="U30" s="22" t="n">
        <v>6.67</v>
      </c>
      <c r="V30" s="16" t="s">
        <v>269</v>
      </c>
      <c r="W30" s="20" t="n">
        <v>20000</v>
      </c>
      <c r="X30" s="20" t="n">
        <v>16000</v>
      </c>
      <c r="Y30" s="21" t="n">
        <v>133.33</v>
      </c>
      <c r="Z30" s="21" t="n">
        <v>66.67</v>
      </c>
      <c r="AA30" s="16" t="s">
        <v>152</v>
      </c>
      <c r="AB30" s="20" t="n">
        <v>327000</v>
      </c>
      <c r="AC30" s="16" t="n">
        <v>4</v>
      </c>
      <c r="AD30" s="16"/>
      <c r="AE30" s="16"/>
      <c r="AF30" s="16" t="n">
        <v>1</v>
      </c>
      <c r="AG30" s="16" t="n">
        <v>2</v>
      </c>
      <c r="AH30" s="16"/>
      <c r="AI30" s="16"/>
      <c r="AJ30" s="16" t="s">
        <v>105</v>
      </c>
      <c r="AK30" s="23" t="str">
        <f aca="false">IF(N(AG30)&gt;0,"14-50R (50A)",IF(N(AF30)&gt;0,"L14-30R (30A)","None - 120V only"))</f>
        <v>14-50R (50A)</v>
      </c>
      <c r="AL30" s="24" t="n">
        <f aca="false">INDEX(Compatibility!$C$2:$C$5,MATCH(AK30,Compatibility!$A$2:$A$5,0))</f>
        <v>12000</v>
      </c>
      <c r="AM30" s="24" t="n">
        <f aca="false">IF(ISNUMBER(K30),MIN(K30,AL30),"")</f>
        <v>12000</v>
      </c>
      <c r="AN30" s="24" t="n">
        <f aca="false">IF(ISNUMBER(Q30),MIN(Q30,AL30),"")</f>
        <v>12000</v>
      </c>
      <c r="AO30" s="24" t="n">
        <f aca="false">IF(ISNUMBER(X30),MIN(X30,AL30),"")</f>
        <v>12000</v>
      </c>
      <c r="AP30" s="25" t="str">
        <f aca="false">INDEX(Compatibility!$D$2:$D$5,MATCH(AK30,Compatibility!$A$2:$A$5,0))</f>
        <v>XP50PB, XP50PBN, PB50, PBN50 (50A CS6375 inlet)</v>
      </c>
      <c r="AQ30" s="25" t="str">
        <f aca="false">INDEX(Compatibility!$E$2:$E$5,MATCH(AK30,Compatibility!$A$2:$A$5,0))</f>
        <v>XP5015GC, XP5025GC, XP5050GC, PC5020-14, PC5025-14M (14-50P to CS6364)</v>
      </c>
      <c r="AR30" s="25" t="str">
        <f aca="false">INDEX(Compatibility!$F$2:$F$5,MATCH(AK30,Compatibility!$A$2:$A$5,0))</f>
        <v>50A / 10 circuit: R510A (outdoor), A510C, 510C, 510D; 50A / 6 circuit: 506C</v>
      </c>
      <c r="AS30" s="25" t="str">
        <f aca="false">INDEX(Compatibility!$G$2:$G$5,MATCH(AK30,Compatibility!$A$2:$A$5,0))</f>
        <v>50A 2-pole backfeed breaker (panel brand) + GenInterlock kit for panel</v>
      </c>
      <c r="AT30" s="16" t="s">
        <v>201</v>
      </c>
      <c r="AU30" s="16" t="s">
        <v>105</v>
      </c>
      <c r="AV30" s="25" t="str">
        <f aca="false">IF(I30&lt;&gt;"Yes","120V only - extension cords / furnace switch",IF(AT30="Floating","Floating neutral: standard 2-pole transfer switch or interlock kit as-is",IF(AT30="Bonded",IF(AU30="Yes","Bonded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Bonded neutral: have an electrician remove the bond (DuroMax instructions) for 2-pole switch / interlock, or use a neutral-switching (3-pole) switch</v>
      </c>
      <c r="AW30" s="18" t="s">
        <v>202</v>
      </c>
      <c r="AX30" s="26" t="s">
        <v>372</v>
      </c>
      <c r="AY30" s="26" t="s">
        <v>373</v>
      </c>
      <c r="AZ30" s="16" t="s">
        <v>109</v>
      </c>
      <c r="BA30" s="16" t="n">
        <v>999</v>
      </c>
      <c r="BB30" s="16"/>
      <c r="BC30" s="16" t="s">
        <v>346</v>
      </c>
      <c r="BD30" s="16" t="s">
        <v>105</v>
      </c>
      <c r="BE30" s="16" t="s">
        <v>111</v>
      </c>
      <c r="BF30" s="16" t="n">
        <v>84.5</v>
      </c>
      <c r="BG30" s="16" t="s">
        <v>105</v>
      </c>
      <c r="BH30" s="16" t="s">
        <v>105</v>
      </c>
      <c r="BI30" s="16" t="s">
        <v>103</v>
      </c>
      <c r="BJ30" s="16" t="s">
        <v>112</v>
      </c>
      <c r="BK30" s="16" t="n">
        <v>60</v>
      </c>
      <c r="BL30" s="16" t="s">
        <v>260</v>
      </c>
      <c r="BM30" s="16"/>
      <c r="BN30" s="16" t="s">
        <v>364</v>
      </c>
      <c r="BO30" s="22" t="n">
        <v>12.7</v>
      </c>
      <c r="BP30" s="16" t="s">
        <v>365</v>
      </c>
      <c r="BQ30" s="16" t="n">
        <v>466</v>
      </c>
      <c r="BR30" s="16"/>
      <c r="BS30" s="16" t="n">
        <v>70</v>
      </c>
      <c r="BT30" s="16" t="s">
        <v>187</v>
      </c>
      <c r="BU30" s="16"/>
      <c r="BV30" s="16" t="s">
        <v>105</v>
      </c>
      <c r="BW30" s="16" t="s">
        <v>105</v>
      </c>
      <c r="BX30" s="18" t="s">
        <v>374</v>
      </c>
      <c r="BY30" s="26" t="s">
        <v>375</v>
      </c>
      <c r="BZ30" s="26" t="s">
        <v>376</v>
      </c>
      <c r="CA30" s="18" t="s">
        <v>377</v>
      </c>
    </row>
    <row r="31" customFormat="false" ht="42" hidden="false" customHeight="true" outlineLevel="0" collapsed="false">
      <c r="A31" s="16" t="s">
        <v>378</v>
      </c>
      <c r="B31" s="17" t="s">
        <v>379</v>
      </c>
      <c r="C31" s="18" t="s">
        <v>380</v>
      </c>
      <c r="D31" s="16" t="s">
        <v>101</v>
      </c>
      <c r="E31" s="16" t="s">
        <v>102</v>
      </c>
      <c r="F31" s="16" t="s">
        <v>103</v>
      </c>
      <c r="G31" s="19" t="n">
        <v>789</v>
      </c>
      <c r="H31" s="16" t="s">
        <v>104</v>
      </c>
      <c r="I31" s="16" t="s">
        <v>105</v>
      </c>
      <c r="J31" s="20" t="n">
        <v>10000</v>
      </c>
      <c r="K31" s="20" t="n">
        <v>8000</v>
      </c>
      <c r="L31" s="21" t="n">
        <v>66.67</v>
      </c>
      <c r="M31" s="21" t="n">
        <v>33.33</v>
      </c>
      <c r="N31" s="22" t="n">
        <v>22</v>
      </c>
      <c r="O31" s="22" t="n">
        <v>10</v>
      </c>
      <c r="P31" s="20" t="n">
        <v>9500</v>
      </c>
      <c r="Q31" s="20" t="n">
        <v>7600</v>
      </c>
      <c r="R31" s="21" t="n">
        <v>63.33</v>
      </c>
      <c r="S31" s="21" t="n">
        <v>31.67</v>
      </c>
      <c r="T31" s="22" t="n">
        <v>17</v>
      </c>
      <c r="U31" s="22" t="n">
        <v>9</v>
      </c>
      <c r="V31" s="16" t="s">
        <v>324</v>
      </c>
      <c r="W31" s="20"/>
      <c r="X31" s="20"/>
      <c r="Y31" s="21"/>
      <c r="Z31" s="21"/>
      <c r="AA31" s="16"/>
      <c r="AB31" s="20"/>
      <c r="AC31" s="16" t="n">
        <v>2</v>
      </c>
      <c r="AD31" s="16" t="n">
        <v>1</v>
      </c>
      <c r="AE31" s="16" t="n">
        <v>0</v>
      </c>
      <c r="AF31" s="16" t="n">
        <v>1</v>
      </c>
      <c r="AG31" s="16" t="n">
        <v>1</v>
      </c>
      <c r="AH31" s="16" t="n">
        <v>0</v>
      </c>
      <c r="AI31" s="16" t="n">
        <v>1</v>
      </c>
      <c r="AJ31" s="16" t="s">
        <v>105</v>
      </c>
      <c r="AK31" s="23" t="str">
        <f aca="false">IF(N(AG31)&gt;0,"14-50R (50A)",IF(N(AF31)&gt;0,"L14-30R (30A)","None - 120V only"))</f>
        <v>14-50R (50A)</v>
      </c>
      <c r="AL31" s="24" t="n">
        <f aca="false">INDEX(Compatibility!$C$2:$C$5,MATCH(AK31,Compatibility!$A$2:$A$5,0))</f>
        <v>12000</v>
      </c>
      <c r="AM31" s="24" t="n">
        <f aca="false">IF(ISNUMBER(K31),MIN(K31,AL31),"")</f>
        <v>8000</v>
      </c>
      <c r="AN31" s="24" t="n">
        <f aca="false">IF(ISNUMBER(Q31),MIN(Q31,AL31),"")</f>
        <v>7600</v>
      </c>
      <c r="AO31" s="24" t="str">
        <f aca="false">IF(ISNUMBER(X31),MIN(X31,AL31),"")</f>
        <v/>
      </c>
      <c r="AP31" s="25" t="str">
        <f aca="false">INDEX(Compatibility!$D$2:$D$5,MATCH(AK31,Compatibility!$A$2:$A$5,0))</f>
        <v>XP50PB, XP50PBN, PB50, PBN50 (50A CS6375 inlet)</v>
      </c>
      <c r="AQ31" s="25" t="str">
        <f aca="false">INDEX(Compatibility!$E$2:$E$5,MATCH(AK31,Compatibility!$A$2:$A$5,0))</f>
        <v>XP5015GC, XP5025GC, XP5050GC, PC5020-14, PC5025-14M (14-50P to CS6364)</v>
      </c>
      <c r="AR31" s="25" t="str">
        <f aca="false">INDEX(Compatibility!$F$2:$F$5,MATCH(AK31,Compatibility!$A$2:$A$5,0))</f>
        <v>50A / 10 circuit: R510A (outdoor), A510C, 510C, 510D; 50A / 6 circuit: 506C</v>
      </c>
      <c r="AS31" s="25" t="str">
        <f aca="false">INDEX(Compatibility!$G$2:$G$5,MATCH(AK31,Compatibility!$A$2:$A$5,0))</f>
        <v>50A 2-pole backfeed breaker (panel brand) + GenInterlock kit for panel</v>
      </c>
      <c r="AT31" s="16" t="s">
        <v>106</v>
      </c>
      <c r="AU31" s="16" t="s">
        <v>103</v>
      </c>
      <c r="AV31" s="25" t="str">
        <f aca="false">IF(I31&lt;&gt;"Yes","120V only - extension cords / furnace switch",IF(AT31="Floating","Floating neutral: standard 2-pole transfer switch or interlock kit as-is",IF(AT31="Bonded",IF(AU31="Yes","Bonded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Floating neutral: standard 2-pole transfer switch or interlock kit as-is</v>
      </c>
      <c r="AW31" s="18" t="s">
        <v>381</v>
      </c>
      <c r="AX31" s="26" t="s">
        <v>382</v>
      </c>
      <c r="AY31" s="16"/>
      <c r="AZ31" s="16" t="s">
        <v>109</v>
      </c>
      <c r="BA31" s="16" t="n">
        <v>439</v>
      </c>
      <c r="BB31" s="16" t="n">
        <v>3600</v>
      </c>
      <c r="BC31" s="16" t="s">
        <v>383</v>
      </c>
      <c r="BD31" s="16" t="s">
        <v>103</v>
      </c>
      <c r="BE31" s="16" t="s">
        <v>111</v>
      </c>
      <c r="BF31" s="16" t="n">
        <v>37.2</v>
      </c>
      <c r="BG31" s="16" t="s">
        <v>103</v>
      </c>
      <c r="BH31" s="16" t="s">
        <v>105</v>
      </c>
      <c r="BI31" s="16" t="s">
        <v>105</v>
      </c>
      <c r="BJ31" s="16" t="s">
        <v>112</v>
      </c>
      <c r="BK31" s="16" t="n">
        <v>60</v>
      </c>
      <c r="BL31" s="16"/>
      <c r="BM31" s="16" t="s">
        <v>105</v>
      </c>
      <c r="BN31" s="16" t="s">
        <v>113</v>
      </c>
      <c r="BO31" s="22" t="n">
        <v>8.3</v>
      </c>
      <c r="BP31" s="16" t="s">
        <v>137</v>
      </c>
      <c r="BQ31" s="16" t="n">
        <v>220</v>
      </c>
      <c r="BR31" s="16" t="n">
        <v>236</v>
      </c>
      <c r="BS31" s="16" t="n">
        <v>72</v>
      </c>
      <c r="BT31" s="16" t="s">
        <v>115</v>
      </c>
      <c r="BU31" s="16"/>
      <c r="BV31" s="16" t="s">
        <v>105</v>
      </c>
      <c r="BW31" s="16"/>
      <c r="BX31" s="18" t="s">
        <v>384</v>
      </c>
      <c r="BY31" s="26" t="s">
        <v>385</v>
      </c>
      <c r="BZ31" s="26" t="s">
        <v>386</v>
      </c>
      <c r="CA31" s="18" t="s">
        <v>387</v>
      </c>
    </row>
    <row r="32" customFormat="false" ht="42" hidden="false" customHeight="true" outlineLevel="0" collapsed="false">
      <c r="A32" s="16" t="s">
        <v>378</v>
      </c>
      <c r="B32" s="17" t="s">
        <v>388</v>
      </c>
      <c r="C32" s="18" t="s">
        <v>389</v>
      </c>
      <c r="D32" s="16" t="s">
        <v>101</v>
      </c>
      <c r="E32" s="16" t="s">
        <v>102</v>
      </c>
      <c r="F32" s="16" t="s">
        <v>103</v>
      </c>
      <c r="G32" s="19" t="n">
        <v>899</v>
      </c>
      <c r="H32" s="16" t="s">
        <v>122</v>
      </c>
      <c r="I32" s="16" t="s">
        <v>105</v>
      </c>
      <c r="J32" s="20" t="n">
        <v>13000</v>
      </c>
      <c r="K32" s="20" t="n">
        <v>10500</v>
      </c>
      <c r="L32" s="21" t="n">
        <v>87.5</v>
      </c>
      <c r="M32" s="21" t="n">
        <v>43.75</v>
      </c>
      <c r="N32" s="22" t="n">
        <v>17</v>
      </c>
      <c r="O32" s="22" t="n">
        <v>8.5</v>
      </c>
      <c r="P32" s="20" t="n">
        <v>12350</v>
      </c>
      <c r="Q32" s="20" t="n">
        <v>9975</v>
      </c>
      <c r="R32" s="21" t="n">
        <v>83.13</v>
      </c>
      <c r="S32" s="21" t="n">
        <v>41.56</v>
      </c>
      <c r="T32" s="22" t="n">
        <v>13</v>
      </c>
      <c r="U32" s="22" t="n">
        <v>6.5</v>
      </c>
      <c r="V32" s="16" t="s">
        <v>324</v>
      </c>
      <c r="W32" s="20"/>
      <c r="X32" s="20"/>
      <c r="Y32" s="21"/>
      <c r="Z32" s="21"/>
      <c r="AA32" s="16"/>
      <c r="AB32" s="20"/>
      <c r="AC32" s="16" t="n">
        <v>2</v>
      </c>
      <c r="AD32" s="16" t="n">
        <v>0</v>
      </c>
      <c r="AE32" s="16" t="n">
        <v>0</v>
      </c>
      <c r="AF32" s="16" t="n">
        <v>1</v>
      </c>
      <c r="AG32" s="16" t="n">
        <v>1</v>
      </c>
      <c r="AH32" s="16" t="n">
        <v>0</v>
      </c>
      <c r="AI32" s="16" t="n">
        <v>0</v>
      </c>
      <c r="AJ32" s="16" t="s">
        <v>105</v>
      </c>
      <c r="AK32" s="23" t="str">
        <f aca="false">IF(N(AG32)&gt;0,"14-50R (50A)",IF(N(AF32)&gt;0,"L14-30R (30A)","None - 120V only"))</f>
        <v>14-50R (50A)</v>
      </c>
      <c r="AL32" s="24" t="n">
        <f aca="false">INDEX(Compatibility!$C$2:$C$5,MATCH(AK32,Compatibility!$A$2:$A$5,0))</f>
        <v>12000</v>
      </c>
      <c r="AM32" s="24" t="n">
        <f aca="false">IF(ISNUMBER(K32),MIN(K32,AL32),"")</f>
        <v>10500</v>
      </c>
      <c r="AN32" s="24" t="n">
        <f aca="false">IF(ISNUMBER(Q32),MIN(Q32,AL32),"")</f>
        <v>9975</v>
      </c>
      <c r="AO32" s="24" t="str">
        <f aca="false">IF(ISNUMBER(X32),MIN(X32,AL32),"")</f>
        <v/>
      </c>
      <c r="AP32" s="25" t="str">
        <f aca="false">INDEX(Compatibility!$D$2:$D$5,MATCH(AK32,Compatibility!$A$2:$A$5,0))</f>
        <v>XP50PB, XP50PBN, PB50, PBN50 (50A CS6375 inlet)</v>
      </c>
      <c r="AQ32" s="25" t="str">
        <f aca="false">INDEX(Compatibility!$E$2:$E$5,MATCH(AK32,Compatibility!$A$2:$A$5,0))</f>
        <v>XP5015GC, XP5025GC, XP5050GC, PC5020-14, PC5025-14M (14-50P to CS6364)</v>
      </c>
      <c r="AR32" s="25" t="str">
        <f aca="false">INDEX(Compatibility!$F$2:$F$5,MATCH(AK32,Compatibility!$A$2:$A$5,0))</f>
        <v>50A / 10 circuit: R510A (outdoor), A510C, 510C, 510D; 50A / 6 circuit: 506C</v>
      </c>
      <c r="AS32" s="25" t="str">
        <f aca="false">INDEX(Compatibility!$G$2:$G$5,MATCH(AK32,Compatibility!$A$2:$A$5,0))</f>
        <v>50A 2-pole backfeed breaker (panel brand) + GenInterlock kit for panel</v>
      </c>
      <c r="AT32" s="16" t="s">
        <v>201</v>
      </c>
      <c r="AU32" s="16" t="s">
        <v>105</v>
      </c>
      <c r="AV32" s="25" t="str">
        <f aca="false">IF(I32&lt;&gt;"Yes","120V only - extension cords / furnace switch",IF(AT32="Floating","Floating neutral: standard 2-pole transfer switch or interlock kit as-is",IF(AT32="Bonded",IF(AU32="Yes","Bonded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Bonded neutral: have an electrician remove the bond (DuroMax instructions) for 2-pole switch / interlock, or use a neutral-switching (3-pole) switch</v>
      </c>
      <c r="AW32" s="18" t="s">
        <v>213</v>
      </c>
      <c r="AX32" s="26" t="s">
        <v>390</v>
      </c>
      <c r="AY32" s="26" t="s">
        <v>391</v>
      </c>
      <c r="AZ32" s="16" t="s">
        <v>109</v>
      </c>
      <c r="BA32" s="16" t="n">
        <v>500</v>
      </c>
      <c r="BB32" s="16" t="n">
        <v>3600</v>
      </c>
      <c r="BC32" s="16" t="s">
        <v>392</v>
      </c>
      <c r="BD32" s="16" t="s">
        <v>105</v>
      </c>
      <c r="BE32" s="16" t="s">
        <v>111</v>
      </c>
      <c r="BF32" s="16" t="n">
        <v>40.5</v>
      </c>
      <c r="BG32" s="16" t="s">
        <v>105</v>
      </c>
      <c r="BH32" s="16" t="s">
        <v>105</v>
      </c>
      <c r="BI32" s="16" t="s">
        <v>103</v>
      </c>
      <c r="BJ32" s="16" t="s">
        <v>112</v>
      </c>
      <c r="BK32" s="16" t="n">
        <v>60</v>
      </c>
      <c r="BL32" s="16"/>
      <c r="BM32" s="16" t="s">
        <v>105</v>
      </c>
      <c r="BN32" s="16" t="s">
        <v>113</v>
      </c>
      <c r="BO32" s="22" t="n">
        <v>8.3</v>
      </c>
      <c r="BP32" s="16" t="s">
        <v>393</v>
      </c>
      <c r="BQ32" s="16" t="n">
        <v>209</v>
      </c>
      <c r="BR32" s="16"/>
      <c r="BS32" s="16" t="n">
        <v>74</v>
      </c>
      <c r="BT32" s="16" t="s">
        <v>115</v>
      </c>
      <c r="BU32" s="16"/>
      <c r="BV32" s="16" t="s">
        <v>105</v>
      </c>
      <c r="BW32" s="16"/>
      <c r="BX32" s="18" t="s">
        <v>394</v>
      </c>
      <c r="BY32" s="26" t="s">
        <v>395</v>
      </c>
      <c r="BZ32" s="26" t="s">
        <v>396</v>
      </c>
      <c r="CA32" s="18" t="s">
        <v>397</v>
      </c>
    </row>
    <row r="33" customFormat="false" ht="42" hidden="false" customHeight="true" outlineLevel="0" collapsed="false">
      <c r="A33" s="16" t="s">
        <v>378</v>
      </c>
      <c r="B33" s="17" t="s">
        <v>398</v>
      </c>
      <c r="C33" s="18" t="s">
        <v>399</v>
      </c>
      <c r="D33" s="16" t="s">
        <v>101</v>
      </c>
      <c r="E33" s="16" t="s">
        <v>151</v>
      </c>
      <c r="F33" s="16" t="s">
        <v>103</v>
      </c>
      <c r="G33" s="19" t="n">
        <v>999</v>
      </c>
      <c r="H33" s="16" t="s">
        <v>122</v>
      </c>
      <c r="I33" s="16" t="s">
        <v>105</v>
      </c>
      <c r="J33" s="20" t="n">
        <v>13000</v>
      </c>
      <c r="K33" s="20" t="n">
        <v>10500</v>
      </c>
      <c r="L33" s="21" t="n">
        <v>87.5</v>
      </c>
      <c r="M33" s="21" t="n">
        <v>43.75</v>
      </c>
      <c r="N33" s="22" t="n">
        <v>17</v>
      </c>
      <c r="O33" s="22" t="n">
        <v>8.5</v>
      </c>
      <c r="P33" s="20" t="n">
        <v>12500</v>
      </c>
      <c r="Q33" s="20" t="n">
        <v>10000</v>
      </c>
      <c r="R33" s="21" t="n">
        <v>83.33</v>
      </c>
      <c r="S33" s="21" t="n">
        <v>41.67</v>
      </c>
      <c r="T33" s="22" t="n">
        <v>13</v>
      </c>
      <c r="U33" s="22" t="n">
        <v>6.5</v>
      </c>
      <c r="V33" s="16" t="s">
        <v>324</v>
      </c>
      <c r="W33" s="20" t="n">
        <v>11250</v>
      </c>
      <c r="X33" s="20" t="n">
        <v>9000</v>
      </c>
      <c r="Y33" s="21" t="n">
        <v>75</v>
      </c>
      <c r="Z33" s="21" t="n">
        <v>37.5</v>
      </c>
      <c r="AA33" s="16" t="s">
        <v>152</v>
      </c>
      <c r="AB33" s="20" t="n">
        <v>225000</v>
      </c>
      <c r="AC33" s="16" t="n">
        <v>2</v>
      </c>
      <c r="AD33" s="16" t="n">
        <v>0</v>
      </c>
      <c r="AE33" s="16" t="n">
        <v>0</v>
      </c>
      <c r="AF33" s="16" t="n">
        <v>1</v>
      </c>
      <c r="AG33" s="16" t="n">
        <v>1</v>
      </c>
      <c r="AH33" s="16" t="n">
        <v>0</v>
      </c>
      <c r="AI33" s="16"/>
      <c r="AJ33" s="16" t="s">
        <v>105</v>
      </c>
      <c r="AK33" s="23" t="str">
        <f aca="false">IF(N(AG33)&gt;0,"14-50R (50A)",IF(N(AF33)&gt;0,"L14-30R (30A)","None - 120V only"))</f>
        <v>14-50R (50A)</v>
      </c>
      <c r="AL33" s="24" t="n">
        <f aca="false">INDEX(Compatibility!$C$2:$C$5,MATCH(AK33,Compatibility!$A$2:$A$5,0))</f>
        <v>12000</v>
      </c>
      <c r="AM33" s="24" t="n">
        <f aca="false">IF(ISNUMBER(K33),MIN(K33,AL33),"")</f>
        <v>10500</v>
      </c>
      <c r="AN33" s="24" t="n">
        <f aca="false">IF(ISNUMBER(Q33),MIN(Q33,AL33),"")</f>
        <v>10000</v>
      </c>
      <c r="AO33" s="24" t="n">
        <f aca="false">IF(ISNUMBER(X33),MIN(X33,AL33),"")</f>
        <v>9000</v>
      </c>
      <c r="AP33" s="25" t="str">
        <f aca="false">INDEX(Compatibility!$D$2:$D$5,MATCH(AK33,Compatibility!$A$2:$A$5,0))</f>
        <v>XP50PB, XP50PBN, PB50, PBN50 (50A CS6375 inlet)</v>
      </c>
      <c r="AQ33" s="25" t="str">
        <f aca="false">INDEX(Compatibility!$E$2:$E$5,MATCH(AK33,Compatibility!$A$2:$A$5,0))</f>
        <v>XP5015GC, XP5025GC, XP5050GC, PC5020-14, PC5025-14M (14-50P to CS6364)</v>
      </c>
      <c r="AR33" s="25" t="str">
        <f aca="false">INDEX(Compatibility!$F$2:$F$5,MATCH(AK33,Compatibility!$A$2:$A$5,0))</f>
        <v>50A / 10 circuit: R510A (outdoor), A510C, 510C, 510D; 50A / 6 circuit: 506C</v>
      </c>
      <c r="AS33" s="25" t="str">
        <f aca="false">INDEX(Compatibility!$G$2:$G$5,MATCH(AK33,Compatibility!$A$2:$A$5,0))</f>
        <v>50A 2-pole backfeed breaker (panel brand) + GenInterlock kit for panel</v>
      </c>
      <c r="AT33" s="16" t="s">
        <v>201</v>
      </c>
      <c r="AU33" s="16" t="s">
        <v>103</v>
      </c>
      <c r="AV33" s="25" t="str">
        <f aca="false">IF(I33&lt;&gt;"Yes","120V only - extension cords / furnace switch",IF(AT33="Floating","Floating neutral: standard 2-pole transfer switch or interlock kit as-is",IF(AT33="Bonded",IF(AU33="Yes","Bonded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Bonded neutral, no unbond instructions published: neutral-switching (3-pole) switch - confirm with DuroMax</v>
      </c>
      <c r="AW33" s="18" t="s">
        <v>202</v>
      </c>
      <c r="AX33" s="26" t="s">
        <v>400</v>
      </c>
      <c r="AY33" s="16"/>
      <c r="AZ33" s="16" t="s">
        <v>109</v>
      </c>
      <c r="BA33" s="16" t="n">
        <v>500</v>
      </c>
      <c r="BB33" s="16" t="n">
        <v>3600</v>
      </c>
      <c r="BC33" s="16" t="s">
        <v>392</v>
      </c>
      <c r="BD33" s="16" t="s">
        <v>105</v>
      </c>
      <c r="BE33" s="16" t="s">
        <v>111</v>
      </c>
      <c r="BF33" s="16" t="n">
        <v>40.5</v>
      </c>
      <c r="BG33" s="16" t="s">
        <v>105</v>
      </c>
      <c r="BH33" s="16" t="s">
        <v>103</v>
      </c>
      <c r="BI33" s="16" t="s">
        <v>103</v>
      </c>
      <c r="BJ33" s="16" t="s">
        <v>112</v>
      </c>
      <c r="BK33" s="16" t="n">
        <v>60</v>
      </c>
      <c r="BL33" s="16"/>
      <c r="BM33" s="16" t="s">
        <v>105</v>
      </c>
      <c r="BN33" s="16" t="s">
        <v>113</v>
      </c>
      <c r="BO33" s="22" t="n">
        <v>8.3</v>
      </c>
      <c r="BP33" s="16" t="s">
        <v>401</v>
      </c>
      <c r="BQ33" s="16" t="n">
        <v>211</v>
      </c>
      <c r="BR33" s="16"/>
      <c r="BS33" s="16" t="n">
        <v>74</v>
      </c>
      <c r="BT33" s="16" t="s">
        <v>115</v>
      </c>
      <c r="BU33" s="16"/>
      <c r="BV33" s="16" t="s">
        <v>105</v>
      </c>
      <c r="BW33" s="16"/>
      <c r="BX33" s="18" t="s">
        <v>402</v>
      </c>
      <c r="BY33" s="26" t="s">
        <v>403</v>
      </c>
      <c r="BZ33" s="26" t="s">
        <v>404</v>
      </c>
      <c r="CA33" s="18" t="s">
        <v>405</v>
      </c>
    </row>
    <row r="34" customFormat="false" ht="42" hidden="false" customHeight="true" outlineLevel="0" collapsed="false">
      <c r="A34" s="16" t="s">
        <v>378</v>
      </c>
      <c r="B34" s="17" t="s">
        <v>406</v>
      </c>
      <c r="C34" s="18" t="s">
        <v>407</v>
      </c>
      <c r="D34" s="16" t="s">
        <v>408</v>
      </c>
      <c r="E34" s="16" t="s">
        <v>102</v>
      </c>
      <c r="F34" s="16" t="s">
        <v>103</v>
      </c>
      <c r="G34" s="19" t="n">
        <v>1299</v>
      </c>
      <c r="H34" s="16" t="s">
        <v>122</v>
      </c>
      <c r="I34" s="16" t="s">
        <v>105</v>
      </c>
      <c r="J34" s="20" t="n">
        <v>8000</v>
      </c>
      <c r="K34" s="20" t="n">
        <v>6500</v>
      </c>
      <c r="L34" s="21" t="n">
        <v>54.17</v>
      </c>
      <c r="M34" s="21" t="n">
        <v>27.08</v>
      </c>
      <c r="N34" s="22" t="n">
        <v>21.5</v>
      </c>
      <c r="O34" s="22" t="n">
        <v>14.5</v>
      </c>
      <c r="P34" s="20" t="n">
        <v>7600</v>
      </c>
      <c r="Q34" s="20" t="n">
        <v>6175</v>
      </c>
      <c r="R34" s="21" t="n">
        <v>51.46</v>
      </c>
      <c r="S34" s="21" t="n">
        <v>25.73</v>
      </c>
      <c r="T34" s="22" t="n">
        <v>17</v>
      </c>
      <c r="U34" s="22" t="n">
        <v>9</v>
      </c>
      <c r="V34" s="16" t="s">
        <v>324</v>
      </c>
      <c r="W34" s="20"/>
      <c r="X34" s="20"/>
      <c r="Y34" s="21"/>
      <c r="Z34" s="21"/>
      <c r="AA34" s="16"/>
      <c r="AB34" s="20"/>
      <c r="AC34" s="16" t="n">
        <v>4</v>
      </c>
      <c r="AD34" s="16" t="n">
        <v>0</v>
      </c>
      <c r="AE34" s="16" t="n">
        <v>0</v>
      </c>
      <c r="AF34" s="16" t="n">
        <v>1</v>
      </c>
      <c r="AG34" s="16" t="n">
        <v>0</v>
      </c>
      <c r="AH34" s="16" t="n">
        <v>0</v>
      </c>
      <c r="AI34" s="16"/>
      <c r="AJ34" s="16" t="s">
        <v>105</v>
      </c>
      <c r="AK34" s="23" t="str">
        <f aca="false">IF(N(AG34)&gt;0,"14-50R (50A)",IF(N(AF34)&gt;0,"L14-30R (30A)","None - 120V only"))</f>
        <v>L14-30R (30A)</v>
      </c>
      <c r="AL34" s="24" t="n">
        <f aca="false">INDEX(Compatibility!$C$2:$C$5,MATCH(AK34,Compatibility!$A$2:$A$5,0))</f>
        <v>7200</v>
      </c>
      <c r="AM34" s="24" t="n">
        <f aca="false">IF(ISNUMBER(K34),MIN(K34,AL34),"")</f>
        <v>6500</v>
      </c>
      <c r="AN34" s="24" t="n">
        <f aca="false">IF(ISNUMBER(Q34),MIN(Q34,AL34),"")</f>
        <v>6175</v>
      </c>
      <c r="AO34" s="24" t="str">
        <f aca="false">IF(ISNUMBER(X34),MIN(X34,AL34),"")</f>
        <v/>
      </c>
      <c r="AP34" s="25" t="str">
        <f aca="false">INDEX(Compatibility!$D$2:$D$5,MATCH(AK34,Compatibility!$A$2:$A$5,0))</f>
        <v>PB30, PBN30 (30A L14-30 inlet)</v>
      </c>
      <c r="AQ34" s="25" t="str">
        <f aca="false">INDEX(Compatibility!$E$2:$E$5,MATCH(AK34,Compatibility!$A$2:$A$5,0))</f>
        <v>XP3010GC, XP3025GC, XP3050GC, PC3040 (L14-30P to L14-30R)</v>
      </c>
      <c r="AR34" s="25" t="str">
        <f aca="false">INDEX(Compatibility!$F$2:$F$5,MATCH(AK34,Compatibility!$A$2:$A$5,0))</f>
        <v>30A / 6 circuit: 306A, R306A (outdoor), 306C, 306D, 306CRK (kit); 30A / 10 circuit: 310C, 310D, 310CRK (kit), R310A (outdoor), 310CDKN (kit)</v>
      </c>
      <c r="AS34" s="25" t="str">
        <f aca="false">INDEX(Compatibility!$G$2:$G$5,MATCH(AK34,Compatibility!$A$2:$A$5,0))</f>
        <v>30A 2-pole backfeed breaker (panel brand) + GenInterlock kit for panel</v>
      </c>
      <c r="AT34" s="16" t="s">
        <v>201</v>
      </c>
      <c r="AU34" s="16" t="s">
        <v>103</v>
      </c>
      <c r="AV34" s="25" t="str">
        <f aca="false">IF(I34&lt;&gt;"Yes","120V only - extension cords / furnace switch",IF(AT34="Floating","Floating neutral: standard 2-pole transfer switch or interlock kit as-is",IF(AT34="Bonded",IF(AU34="Yes","Bonded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Bonded neutral, no unbond instructions published: neutral-switching (3-pole) switch - confirm with DuroMax</v>
      </c>
      <c r="AW34" s="18" t="s">
        <v>409</v>
      </c>
      <c r="AX34" s="26" t="s">
        <v>410</v>
      </c>
      <c r="AY34" s="16"/>
      <c r="AZ34" s="16" t="s">
        <v>109</v>
      </c>
      <c r="BA34" s="16" t="n">
        <v>322</v>
      </c>
      <c r="BB34" s="16" t="n">
        <v>3600</v>
      </c>
      <c r="BC34" s="16" t="s">
        <v>411</v>
      </c>
      <c r="BD34" s="16" t="s">
        <v>105</v>
      </c>
      <c r="BE34" s="16" t="s">
        <v>111</v>
      </c>
      <c r="BF34" s="16" t="n">
        <v>27</v>
      </c>
      <c r="BG34" s="16" t="s">
        <v>105</v>
      </c>
      <c r="BH34" s="16" t="s">
        <v>105</v>
      </c>
      <c r="BI34" s="16" t="s">
        <v>103</v>
      </c>
      <c r="BJ34" s="16" t="s">
        <v>112</v>
      </c>
      <c r="BK34" s="16" t="n">
        <v>60</v>
      </c>
      <c r="BL34" s="16" t="s">
        <v>260</v>
      </c>
      <c r="BM34" s="16"/>
      <c r="BN34" s="16" t="s">
        <v>301</v>
      </c>
      <c r="BO34" s="22" t="n">
        <v>6.6</v>
      </c>
      <c r="BP34" s="16" t="s">
        <v>412</v>
      </c>
      <c r="BQ34" s="16" t="n">
        <v>134</v>
      </c>
      <c r="BR34" s="16"/>
      <c r="BS34" s="16" t="n">
        <v>70</v>
      </c>
      <c r="BT34" s="16" t="s">
        <v>145</v>
      </c>
      <c r="BU34" s="16"/>
      <c r="BV34" s="16"/>
      <c r="BW34" s="16" t="s">
        <v>105</v>
      </c>
      <c r="BX34" s="18" t="s">
        <v>413</v>
      </c>
      <c r="BY34" s="26" t="s">
        <v>414</v>
      </c>
      <c r="BZ34" s="26" t="s">
        <v>415</v>
      </c>
      <c r="CA34" s="18" t="s">
        <v>416</v>
      </c>
    </row>
    <row r="35" customFormat="false" ht="42" hidden="false" customHeight="true" outlineLevel="0" collapsed="false">
      <c r="A35" s="16" t="s">
        <v>378</v>
      </c>
      <c r="B35" s="17" t="s">
        <v>417</v>
      </c>
      <c r="C35" s="18" t="s">
        <v>418</v>
      </c>
      <c r="D35" s="16" t="s">
        <v>408</v>
      </c>
      <c r="E35" s="16" t="s">
        <v>102</v>
      </c>
      <c r="F35" s="16" t="s">
        <v>103</v>
      </c>
      <c r="G35" s="19" t="n">
        <v>1999</v>
      </c>
      <c r="H35" s="16" t="s">
        <v>122</v>
      </c>
      <c r="I35" s="16" t="s">
        <v>105</v>
      </c>
      <c r="J35" s="20" t="n">
        <v>14000</v>
      </c>
      <c r="K35" s="20" t="n">
        <v>11000</v>
      </c>
      <c r="L35" s="21" t="n">
        <v>91.66</v>
      </c>
      <c r="M35" s="21" t="n">
        <v>45.83</v>
      </c>
      <c r="N35" s="22" t="n">
        <v>23.3</v>
      </c>
      <c r="O35" s="22" t="n">
        <v>12.5</v>
      </c>
      <c r="P35" s="20" t="n">
        <v>13500</v>
      </c>
      <c r="Q35" s="20" t="n">
        <v>10500</v>
      </c>
      <c r="R35" s="21" t="n">
        <v>87.5</v>
      </c>
      <c r="S35" s="21" t="n">
        <v>43.75</v>
      </c>
      <c r="T35" s="22" t="n">
        <v>23.1</v>
      </c>
      <c r="U35" s="22" t="n">
        <v>12</v>
      </c>
      <c r="V35" s="16" t="s">
        <v>180</v>
      </c>
      <c r="W35" s="20"/>
      <c r="X35" s="20"/>
      <c r="Y35" s="21"/>
      <c r="Z35" s="21"/>
      <c r="AA35" s="16"/>
      <c r="AB35" s="20"/>
      <c r="AC35" s="16" t="n">
        <v>2</v>
      </c>
      <c r="AD35" s="16" t="n">
        <v>0</v>
      </c>
      <c r="AE35" s="16" t="n">
        <v>0</v>
      </c>
      <c r="AF35" s="16" t="n">
        <v>1</v>
      </c>
      <c r="AG35" s="16" t="n">
        <v>1</v>
      </c>
      <c r="AH35" s="16" t="n">
        <v>0</v>
      </c>
      <c r="AI35" s="16"/>
      <c r="AJ35" s="16" t="s">
        <v>105</v>
      </c>
      <c r="AK35" s="23" t="str">
        <f aca="false">IF(N(AG35)&gt;0,"14-50R (50A)",IF(N(AF35)&gt;0,"L14-30R (30A)","None - 120V only"))</f>
        <v>14-50R (50A)</v>
      </c>
      <c r="AL35" s="24" t="n">
        <f aca="false">INDEX(Compatibility!$C$2:$C$5,MATCH(AK35,Compatibility!$A$2:$A$5,0))</f>
        <v>12000</v>
      </c>
      <c r="AM35" s="24" t="n">
        <f aca="false">IF(ISNUMBER(K35),MIN(K35,AL35),"")</f>
        <v>11000</v>
      </c>
      <c r="AN35" s="24" t="n">
        <f aca="false">IF(ISNUMBER(Q35),MIN(Q35,AL35),"")</f>
        <v>10500</v>
      </c>
      <c r="AO35" s="24" t="str">
        <f aca="false">IF(ISNUMBER(X35),MIN(X35,AL35),"")</f>
        <v/>
      </c>
      <c r="AP35" s="25" t="str">
        <f aca="false">INDEX(Compatibility!$D$2:$D$5,MATCH(AK35,Compatibility!$A$2:$A$5,0))</f>
        <v>XP50PB, XP50PBN, PB50, PBN50 (50A CS6375 inlet)</v>
      </c>
      <c r="AQ35" s="25" t="str">
        <f aca="false">INDEX(Compatibility!$E$2:$E$5,MATCH(AK35,Compatibility!$A$2:$A$5,0))</f>
        <v>XP5015GC, XP5025GC, XP5050GC, PC5020-14, PC5025-14M (14-50P to CS6364)</v>
      </c>
      <c r="AR35" s="25" t="str">
        <f aca="false">INDEX(Compatibility!$F$2:$F$5,MATCH(AK35,Compatibility!$A$2:$A$5,0))</f>
        <v>50A / 10 circuit: R510A (outdoor), A510C, 510C, 510D; 50A / 6 circuit: 506C</v>
      </c>
      <c r="AS35" s="25" t="str">
        <f aca="false">INDEX(Compatibility!$G$2:$G$5,MATCH(AK35,Compatibility!$A$2:$A$5,0))</f>
        <v>50A 2-pole backfeed breaker (panel brand) + GenInterlock kit for panel</v>
      </c>
      <c r="AT35" s="16" t="s">
        <v>201</v>
      </c>
      <c r="AU35" s="16" t="s">
        <v>105</v>
      </c>
      <c r="AV35" s="25" t="str">
        <f aca="false">IF(I35&lt;&gt;"Yes","120V only - extension cords / furnace switch",IF(AT35="Floating","Floating neutral: standard 2-pole transfer switch or interlock kit as-is",IF(AT35="Bonded",IF(AU35="Yes","Bonded neutral: have an electrician remove the bond (DuroMax instructions) for 2-pole switch / interlock, or use a neutral-switching (3-pole) switch","Bonded neutral, no unbond instructions published: neutral-switching (3-pole) switch - confirm with DuroMax"),"Neutral not stated - confirm with DuroMax")))</f>
        <v>Bonded neutral: have an electrician remove the bond (DuroMax instructions) for 2-pole switch / interlock, or use a neutral-switching (3-pole) switch</v>
      </c>
      <c r="AW35" s="18" t="s">
        <v>419</v>
      </c>
      <c r="AX35" s="26" t="s">
        <v>420</v>
      </c>
      <c r="AY35" s="26" t="s">
        <v>421</v>
      </c>
      <c r="AZ35" s="16" t="s">
        <v>109</v>
      </c>
      <c r="BA35" s="16" t="n">
        <v>550</v>
      </c>
      <c r="BB35" s="16" t="n">
        <v>3600</v>
      </c>
      <c r="BC35" s="16" t="s">
        <v>422</v>
      </c>
      <c r="BD35" s="16" t="s">
        <v>105</v>
      </c>
      <c r="BE35" s="16" t="s">
        <v>111</v>
      </c>
      <c r="BF35" s="16" t="n">
        <v>50.7</v>
      </c>
      <c r="BG35" s="16" t="s">
        <v>105</v>
      </c>
      <c r="BH35" s="16" t="s">
        <v>105</v>
      </c>
      <c r="BI35" s="16" t="s">
        <v>103</v>
      </c>
      <c r="BJ35" s="16" t="s">
        <v>112</v>
      </c>
      <c r="BK35" s="16" t="n">
        <v>60</v>
      </c>
      <c r="BL35" s="16" t="s">
        <v>423</v>
      </c>
      <c r="BM35" s="16"/>
      <c r="BN35" s="16" t="s">
        <v>301</v>
      </c>
      <c r="BO35" s="22" t="n">
        <v>10.6</v>
      </c>
      <c r="BP35" s="16" t="s">
        <v>424</v>
      </c>
      <c r="BQ35" s="16" t="n">
        <v>212</v>
      </c>
      <c r="BR35" s="16"/>
      <c r="BS35" s="16" t="n">
        <v>74</v>
      </c>
      <c r="BT35" s="16" t="s">
        <v>145</v>
      </c>
      <c r="BU35" s="16"/>
      <c r="BV35" s="16"/>
      <c r="BW35" s="16" t="s">
        <v>105</v>
      </c>
      <c r="BX35" s="18" t="s">
        <v>425</v>
      </c>
      <c r="BY35" s="26" t="s">
        <v>426</v>
      </c>
      <c r="BZ35" s="26" t="s">
        <v>427</v>
      </c>
      <c r="CA35" s="18" t="s">
        <v>428</v>
      </c>
    </row>
  </sheetData>
  <autoFilter ref="A2:CA35"/>
  <mergeCells count="11">
    <mergeCell ref="A1:I1"/>
    <mergeCell ref="J1:O1"/>
    <mergeCell ref="P1:V1"/>
    <mergeCell ref="W1:AB1"/>
    <mergeCell ref="AC1:AJ1"/>
    <mergeCell ref="AK1:AS1"/>
    <mergeCell ref="AT1:AY1"/>
    <mergeCell ref="AZ1:BI1"/>
    <mergeCell ref="BJ1:BT1"/>
    <mergeCell ref="BU1:BW1"/>
    <mergeCell ref="BX1:CA1"/>
  </mergeCells>
  <hyperlinks>
    <hyperlink ref="AX3" r:id="rId2" display="https://cdn.shopify.com/s/files/1/0613/1168/0689/files/XP4850eh_manual_revised10042022_WEB.pdf"/>
    <hyperlink ref="BY3" r:id="rId3" display="https://www.duromaxpower.com/products/duromax-xp4850eh-4850-watt-dual-fuel-hybrid-generator-w-electric-start"/>
    <hyperlink ref="BZ3" r:id="rId4" display="https://cdn.shopify.com/s/files/1/0613/1168/0689/products/XP4850EH_1.png?v=1749582793"/>
    <hyperlink ref="AX4" r:id="rId5" display="https://cdn.shopify.com/s/files/1/0613/1168/0689/files/XP5500HX_manual_revised_12012023_CARB_EPA_WEB.pdf"/>
    <hyperlink ref="BY4" r:id="rId6" display="https://www.duromaxpower.com/products/5500-watt-7-5-hp-portable-gas-electric-start-generator-with-co-alert"/>
    <hyperlink ref="BZ4" r:id="rId7" display="https://cdn.shopify.com/s/files/1/0613/1168/0689/files/XP5500HX_001.png?v=1749582918"/>
    <hyperlink ref="AX5" r:id="rId8" display="https://cdn.shopify.com/s/files/1/0613/1168/0689/files/XP10000X_manual_revised_07152022_WEB.pdf?v=1658848035"/>
    <hyperlink ref="BY5" r:id="rId9" display="https://www.duromaxpower.com/products/duromax-xp10000x-10-000-watt-439cc-gas-portable-generator-with-co-alert"/>
    <hyperlink ref="BZ5" r:id="rId10" display="https://cdn.shopify.com/s/files/1/0613/1168/0689/files/XP10000X_001.jpg?v=1749582881"/>
    <hyperlink ref="AX6" r:id="rId11" display="https://cdn.shopify.com/s/files/1/0613/1168/0689/files/XP11500EH_manual_revised_07262022_WEB.pdf?v=1659652695"/>
    <hyperlink ref="BY6" r:id="rId12" display="https://www.duromaxpower.com/products/duromax-xp11500eh-11500-watt-electric-start-dual-fuel-hybrid-portable-generator"/>
    <hyperlink ref="BZ6" r:id="rId13" display="https://cdn.shopify.com/s/files/1/0613/1168/0689/products/XP11500EH_1.png?v=1749582880"/>
    <hyperlink ref="AX7" r:id="rId14" display="https://cdn.shopify.com/s/files/1/0613/1168/0689/files/XP13000HXT_manual_revised_02072025_WEB.pdf?v=1755815346"/>
    <hyperlink ref="BY7" r:id="rId15" display="https://www.duromaxpower.com/products/duromax-xp13000hxt-13000-watt-500cc-tri-fuel-gas-propane-natural-gas-portable-generator-with-co-alert"/>
    <hyperlink ref="BZ7" r:id="rId16" display="https://cdn.shopify.com/s/files/1/0613/1168/0689/files/XP13000HXT_001_d1629492-0800-4e8e-ab99-6ed654584d11.png?v=1775171669"/>
    <hyperlink ref="AX8" r:id="rId17" display="https://cdn.shopify.com/s/files/1/0613/1168/0689/files/XP13000HX_manual_revised_09162022_WEB.pdf?v=1663372666"/>
    <hyperlink ref="BY8" r:id="rId18" display="https://www.duromaxpower.com/products/13000-watt-18-hp-portable-gas-electric-start-generator-with-co-alert"/>
    <hyperlink ref="BZ8" r:id="rId19" display="https://cdn.shopify.com/s/files/1/0613/1168/0689/files/XP13000HX_001_52f77030-00ba-469f-9e97-22f772b348eb.png?v=1771880002"/>
    <hyperlink ref="AX9" r:id="rId20" display="https://cdn.shopify.com/s/files/1/0613/1168/0689/files/XP13000EH_manual_rev06172022_WEB.pdf?v=1656093569"/>
    <hyperlink ref="BY9" r:id="rId21" display="https://www.duromaxpower.com/products/duromax-xp13000eh-13000-watt-portable-hybrid-gas-propane-generator"/>
    <hyperlink ref="BZ9" r:id="rId22" display="https://cdn.shopify.com/s/files/1/0613/1168/0689/products/XP13000EH_1.png?v=1749582853"/>
    <hyperlink ref="BY10" r:id="rId23" display="https://www.duromaxpower.com/products/duromax-15500-watt-tri-fuel-portable-hxt-generator-w-co-alert"/>
    <hyperlink ref="BZ10" r:id="rId24" display="https://cdn.shopify.com/s/files/1/0613/1168/0689/files/XP15500HXT_001.jpg?v=1789610380"/>
    <hyperlink ref="BY11" r:id="rId25" display="https://www.duromaxpower.com/products/duromax-15500-watt-dual-fuel-portable-hx-generator-w-co-alert"/>
    <hyperlink ref="BZ11" r:id="rId26" display="https://cdn.shopify.com/s/files/1/0613/1168/0689/files/XP17500HX_001_420214b7-6bcd-4b7b-8495-f81ceed44982.jpg?v=1789608991"/>
    <hyperlink ref="AX12" r:id="rId27" display="https://cdn.shopify.com/s/files/1/0613/1168/0689/files/XP15000HXT__manual_03042025_WEB_1.pdf?v=1755808459"/>
    <hyperlink ref="BY12" r:id="rId28" display="https://www.duromaxpower.com/products/duromax-15-000-watt-electric-start-tri-fuel-efi-portable-generator"/>
    <hyperlink ref="BZ12" r:id="rId29" display="https://cdn.shopify.com/s/files/1/0613/1168/0689/files/XP15000HXT__001_Hero_3.png?v=1749582372"/>
    <hyperlink ref="AX13" r:id="rId30" display="https://cdn.shopify.com/s/files/1/0613/1168/0689/files/XP15000HX__manual_08272025_WEB.pdf?v=1756401571"/>
    <hyperlink ref="AY13" r:id="rId31" display="https://cdn.shopify.com/s/files/1/0613/1168/0689/files/XP15000HX__Remove_Bond_Instructions_WEB.pdf?v=1761163937"/>
    <hyperlink ref="BY13" r:id="rId32" display="https://www.duromaxpower.com/products/duromax-xp15000hx-15-000-watt-electric-start-dual-fuel-efi-portable-generator"/>
    <hyperlink ref="BZ13" r:id="rId33" display="https://cdn.shopify.com/s/files/1/0613/1168/0689/files/XP15000HX__001.png?v=1754082484"/>
    <hyperlink ref="AX14" r:id="rId34" display="https://cdn.shopify.com/s/files/1/0613/1168/0689/files/XP15000HXT_manual_02072025_WEB.pdf?v=1755815346"/>
    <hyperlink ref="AY14" r:id="rId35" display="https://cdn.shopify.com/s/files/1/0613/1168/0689/files/XP15000HXT_Remove_Bond_Instructions.pdf?v=1786147971"/>
    <hyperlink ref="BY14" r:id="rId36" display="https://www.duromaxpower.com/products/duromax-xp15000hxt-15-000-watt-electric-start-tri-fuel-portable-generator"/>
    <hyperlink ref="BZ14" r:id="rId37" display="https://cdn.shopify.com/s/files/1/0613/1168/0689/files/XP15000HXT_001.jpg?v=1749582562"/>
    <hyperlink ref="AX15" r:id="rId38" display="https://cdn.shopify.com/s/files/1/0613/1168/0689/files/XP15000HX_manual_12012023_EPA_CARB_version_WEB.pdf"/>
    <hyperlink ref="AY15" r:id="rId39" display="https://cdn.shopify.com/s/files/1/0613/1168/0689/files/XP15000HX_Remove_Bond_Instructions.pdf?v=1786148129"/>
    <hyperlink ref="BY15" r:id="rId40" display="https://www.duromaxpower.com/products/duromax-xp15000hx-15-000-watt-electric-start-dual-fuel-portable-generator"/>
    <hyperlink ref="BZ15" r:id="rId41" display="https://cdn.shopify.com/s/files/1/0613/1168/0689/files/XP15000HX_001_f4c2fb68-68cc-4216-aac6-e6e023c75aaf.jpg?v=1749582565"/>
    <hyperlink ref="BY16" r:id="rId42" display="https://www.duromaxpower.com/products/duromax-17500-watt-tri-fuel-portable-hxt-generator-w-co-alert"/>
    <hyperlink ref="BZ16" r:id="rId43" display="https://cdn.shopify.com/s/files/1/0613/1168/0689/files/XP17500HXT_001_7a0b6916-e040-4c11-8814-ea1d1273ef6c.jpg?v=1789581239"/>
    <hyperlink ref="BY17" r:id="rId44" display="https://www.duromaxpower.com/products/duromax-17500-watt-dual-fuel-portable-hx-generator-w-co-alert"/>
    <hyperlink ref="BZ17" r:id="rId45" display="https://cdn.shopify.com/s/files/1/0613/1168/0689/files/XP17500HX_001.jpg?v=1789581305"/>
    <hyperlink ref="AX18" r:id="rId46" display="https://cdn.shopify.com/s/files/1/0613/1168/0689/files/XP2300iH_manual_revised_04042024_EPA_CARB_WEB.pdf"/>
    <hyperlink ref="BY18" r:id="rId47" display="https://www.duromaxpower.com/products/duromax-xp2300ih-2300-watt-80cc-dual-fuel-inverter-generator-with-co-alert"/>
    <hyperlink ref="BZ18" r:id="rId48" display="https://cdn.shopify.com/s/files/1/0613/1168/0689/files/XP2300iHHeroTransparent.jpg?v=1749582822"/>
    <hyperlink ref="AX19" r:id="rId49" display="https://cdn.shopify.com/s/files/1/0613/1168/0689/files/XP7000iH_manual_revised_02162024_WEB.pdf?v=1714662622"/>
    <hyperlink ref="AY19" r:id="rId50" display="https://cdn.shopify.com/s/files/1/0613/1168/0689/files/XP7000iH_Inverters.pdf?v=1735255332"/>
    <hyperlink ref="BY19" r:id="rId51" display="https://www.duromaxpower.com/products/duromax-xp7000ih-7000-watt-dual-fuel-portable-digital-inverter-generator"/>
    <hyperlink ref="BZ19" r:id="rId52" display="https://cdn.shopify.com/s/files/1/0613/1168/0689/files/XP7000iH_001.png?v=1749582560"/>
    <hyperlink ref="AX20" r:id="rId53" display="https://cdn.shopify.com/s/files/1/0613/1168/0689/files/XP7000iHT_manual_revised_11102025_WEB.pdf?v=1762799463"/>
    <hyperlink ref="AY20" r:id="rId54" display="https://cdn.shopify.com/s/files/1/0613/1168/0689/files/XP7000iHT_removing_the_bond_instructions_WEB.pdf"/>
    <hyperlink ref="BY20" r:id="rId55" display="https://www.duromaxpower.com/products/duromax-xp7000iht-7000-watt-portable-tri-fuel-inverter-generator-w-co-alert"/>
    <hyperlink ref="BZ20" r:id="rId56" display="https://cdn.shopify.com/s/files/1/0613/1168/0689/files/XP7000iHT_001.png?v=1750803563"/>
    <hyperlink ref="AX21" r:id="rId57" display="https://cdn.shopify.com/s/files/1/0613/1168/0689/files/XP9500iH_manual_revised_09162026_WEB.pdf?v=1789592677"/>
    <hyperlink ref="AY21" r:id="rId58" display="https://cdn.shopify.com/s/files/1/0613/1168/0689/files/XP9500iH_removing_the_bond_instructions_version_1_2_WEB.pdf?v=1747339695"/>
    <hyperlink ref="BY21" r:id="rId59" display="https://www.duromaxpower.com/products/duromax-xp9500ih-9500-watt-dual-fuel-portable-digital-inverter-generator"/>
    <hyperlink ref="BZ21" r:id="rId60" display="https://cdn.shopify.com/s/files/1/0613/1168/0689/files/XP9500iH_001.png?v=1749582557"/>
    <hyperlink ref="AX22" r:id="rId61" display="https://cdn.shopify.com/s/files/1/0613/1168/0689/files/XP9500iHT_manual_revised_09162026_WEB.pdf?v=1789592676"/>
    <hyperlink ref="BY22" r:id="rId62" display="https://www.duromaxpower.com/products/duromax-xp9500iht-9500-watt-portable-tri-fuel-inverter-generator-w-co-alert"/>
    <hyperlink ref="BZ22" r:id="rId63" display="https://cdn.shopify.com/s/files/1/0613/1168/0689/files/X9500iHT_001_35af19e1-6413-49ed-a6dc-07348e1781c9.png?v=1765312039"/>
    <hyperlink ref="AX23" r:id="rId64" display="https://cdn.shopify.com/s/files/1/0613/1168/0689/files/XP11000iH_manual_revised_09162026_WEB.pdf?v=1789592676"/>
    <hyperlink ref="AY23" r:id="rId65" display="https://cdn.shopify.com/s/files/1/0613/1168/0689/files/XP11000iH_removing_the_bond_instructions_version_1_2_WEB.pdf?v=1747339695"/>
    <hyperlink ref="BY23" r:id="rId66" display="https://www.duromaxpower.com/products/duromax-xp11000ih-11000-watt-dual-fuel-portable-digital-inverter-generator"/>
    <hyperlink ref="BZ23" r:id="rId67" display="https://cdn.shopify.com/s/files/1/0613/1168/0689/files/XP11000iH_001.png?v=1749582555"/>
    <hyperlink ref="AX24" r:id="rId68" display="https://cdn.shopify.com/s/files/1/0613/1168/0689/files/XP11000iHT_manual_revised_01092026_WEB_26de0f28-3de3-4150-b792-89df5c120acb.pdf?v=1789592676"/>
    <hyperlink ref="AY24" r:id="rId69" display="https://cdn.shopify.com/s/files/1/0613/1168/0689/files/XP11000iHT_removing_the_bond_instructions_WEB.pdf?v=1761163937"/>
    <hyperlink ref="BY24" r:id="rId70" display="https://www.duromaxpower.com/products/duromax-xp11000iht-11000-watt-portable-tri-fuel-inverter-generator-w-co-alert"/>
    <hyperlink ref="BZ24" r:id="rId71" display="https://cdn.shopify.com/s/files/1/0613/1168/0689/files/XP11000iHT_001_c49e7dcc-db62-4212-a7fd-24fea20ba76f.png?v=1750201964"/>
    <hyperlink ref="AX25" r:id="rId72" display="https://cdn.shopify.com/s/files/1/0613/1168/0689/files/XP13500iH_manual_revised_02132026_PRINT_2_3.pdf?v=1787850983"/>
    <hyperlink ref="AY25" r:id="rId73" display="https://cdn.shopify.com/s/files/1/0613/1168/0689/files/XP13500iH_removing_the_bond_instructions_WEB.pdf?v=1786148204"/>
    <hyperlink ref="BY25" r:id="rId74" display="https://www.duromaxpower.com/products/duromax-13500-watt-portable-dual-fuel-inverter-generator-quiet-low-thd"/>
    <hyperlink ref="BZ25" r:id="rId75" display="https://cdn.shopify.com/s/files/1/0613/1168/0689/files/XP13500iH_001_2.png?v=1787764844"/>
    <hyperlink ref="AX26" r:id="rId76" display="https://cdn.shopify.com/s/files/1/0613/1168/0689/files/XP13500iHT_manual_revised_02132026_PRINT_1_2.pdf?v=1787850984"/>
    <hyperlink ref="AY26" r:id="rId77" display="https://cdn.shopify.com/s/files/1/0613/1168/0689/files/XP13500iHT_removing_the_bond_instructions_WEB.pdf?v=1786148205"/>
    <hyperlink ref="BY26" r:id="rId78" display="https://www.duromaxpower.com/products/duromax-13500-watt-portable-tri-fuel-inverter-generator-quiet-low-thd"/>
    <hyperlink ref="BZ26" r:id="rId79" display="https://cdn.shopify.com/s/files/1/0613/1168/0689/files/XP13500iHT_001_2.png?v=1787798761"/>
    <hyperlink ref="AX27" r:id="rId80" display="https://cdn.shopify.com/s/files/1/0613/1168/0689/files/XP16000iH_manual_revised_04132026_WEB.pdf?v=1789592676"/>
    <hyperlink ref="AY27" r:id="rId81" display="https://cdn.shopify.com/s/files/1/0613/1168/0689/files/XP16000iH_removing_the_bond_instructions_version_2_WEB.pdf?v=1747326258"/>
    <hyperlink ref="BY27" r:id="rId82" display="https://www.duromaxpower.com/products/16-000-watt-v-twin-dual-fuel-portable-digital-inverter-generator"/>
    <hyperlink ref="BZ27" r:id="rId83" display="https://cdn.shopify.com/s/files/1/0613/1168/0689/files/XP16000iH_001_c82d9502-c499-4187-a30b-efee71dfbe1b.jpg?v=1749582624"/>
    <hyperlink ref="AX28" r:id="rId84" display="https://cdn.shopify.com/s/files/1/0613/1168/0689/files/XP16000iHT_manual_revised_04062026_WEB.pdf?v=1789592676"/>
    <hyperlink ref="AY28" r:id="rId85" display="https://cdn.shopify.com/s/files/1/0613/1168/0689/files/XP16000iHT_removing_the_bond_instructions_WEB.pdf?v=1744242012"/>
    <hyperlink ref="BY28" r:id="rId86" display="https://www.duromaxpower.com/products/duromax-16-000-watt-tri-fuel-portable-inverter-generator-w-co-alert"/>
    <hyperlink ref="BZ28" r:id="rId87" display="https://cdn.shopify.com/s/files/1/0613/1168/0689/files/XP16000iHT_001_0486e9a2-b525-4e1d-94ee-788c5508df83.png?v=1749582455"/>
    <hyperlink ref="AX29" r:id="rId88" display="https://cdn.shopify.com/s/files/1/0613/1168/0689/files/XP28000iH_manual_revised_07182025_WEB_1.pdf?v=1770937923"/>
    <hyperlink ref="AY29" r:id="rId89" display="https://cdn.shopify.com/s/files/1/0613/1168/0689/files/XP28000iH_removing_the_bond_instructions_WEB.pdf?v=1785177004"/>
    <hyperlink ref="BY29" r:id="rId90" display="https://www.duromaxpower.com/products/duromax-28000-watt-dual-fuel-portable-inverter-generator-w-co-alert"/>
    <hyperlink ref="BZ29" r:id="rId91" display="https://cdn.shopify.com/s/files/1/0613/1168/0689/files/XP28000iH_001_b58a20f3-15f9-44ab-a670-c8c14c4d7722.png?v=1771883586"/>
    <hyperlink ref="AX30" r:id="rId92" display="https://cdn.shopify.com/s/files/1/0613/1168/0689/files/XP28000iHT_manual_revised_07222025_WEB.pdf?v=1770937923"/>
    <hyperlink ref="AY30" r:id="rId93" display="https://cdn.shopify.com/s/files/1/0613/1168/0689/files/XP28000iHT_removing_the_bond_instructions_WEB.pdf?v=1774886017"/>
    <hyperlink ref="BY30" r:id="rId94" display="https://www.duromaxpower.com/products/duromax-28000-watt-tri-fuel-portable-inverter-generator-w-co-alert"/>
    <hyperlink ref="BZ30" r:id="rId95" display="https://cdn.shopify.com/s/files/1/0613/1168/0689/files/XP28000iHT_001_fab890cc-4647-4c3a-92d4-a416477abef5.png?v=1771883392"/>
    <hyperlink ref="AX31" r:id="rId96" display="https://cdn.shopify.com/s/files/1/0613/1168/0689/files/DS10000EH_manual_revised07202022_WEB.pdf?v=1658848035"/>
    <hyperlink ref="BY31" r:id="rId97" display="https://www.duromaxpower.com/products/durostar-ds10000eh-10000-watt-18-hp-dual-fuel-hybrid-generator-w-electric-start"/>
    <hyperlink ref="BZ31" r:id="rId98" display="https://cdn.shopify.com/s/files/1/0613/1168/0689/products/DS10000EH_1_f35de996-e39d-4fc3-8ab3-89f4517a375a.png?v=1749582694"/>
    <hyperlink ref="AX32" r:id="rId99" display="https://cdn.shopify.com/s/files/1/0613/1168/0689/files/DS13000MX_manual_rev10172025_WEB.pdf?v=1761163938"/>
    <hyperlink ref="AY32" r:id="rId100" display="https://cdn.shopify.com/s/files/1/0613/1168/0689/files/DS13000MX_Remove_Bond_Instructions_WEB.pdf?v=1785788297"/>
    <hyperlink ref="BY32" r:id="rId101" display="https://www.duromaxpower.com/products/ds13000mx-13-000-watt-dual-fuel-portable-generator-w-co-alert"/>
    <hyperlink ref="BZ32" r:id="rId102" display="https://cdn.shopify.com/s/files/1/0613/1168/0689/files/DS13000MX-Gallery-Hero_1.png?v=1765474767"/>
    <hyperlink ref="AX33" r:id="rId103" display="https://cdn.shopify.com/s/files/1/0613/1168/0689/files/DS13000MXT_manual_rev11052024_WEB_81498861-c22b-437b-8725-37c4ed71a054.pdf"/>
    <hyperlink ref="BY33" r:id="rId104" display="https://www.duromaxpower.com/products/durostar-13-000-watt-tri-fuel-portable-generator-w-co-alert"/>
    <hyperlink ref="BZ33" r:id="rId105" display="https://cdn.shopify.com/s/files/1/0613/1168/0689/files/DS13000MXT_001_cd0e8fda-3b80-4abb-89c0-8e7e5392f0c9.png?v=1749582393"/>
    <hyperlink ref="AX34" r:id="rId106" display="https://cdn.shopify.com/s/files/1/0613/1168/0689/files/DS8000iX_manual_rev09032026_WEB.pdf?v=1788463634"/>
    <hyperlink ref="BY34" r:id="rId107" display="https://www.duromaxpower.com/products/durostar-8-000-watt-dual-fuel-open-frame-digital-inverter-generator"/>
    <hyperlink ref="BZ34" r:id="rId108" display="https://cdn.shopify.com/s/files/1/0613/1168/0689/files/DS8000iX_001.png?v=1788305729"/>
    <hyperlink ref="AX35" r:id="rId109" display="https://cdn.shopify.com/s/files/1/0613/1168/0689/files/DS14000iX_manual_rev07062026_WEB.pdf?v=1783375557"/>
    <hyperlink ref="AY35" r:id="rId110" display="https://cdn.shopify.com/s/files/1/0613/1168/0689/files/DS14000iX_removing_the_bond_instructions_WEB.pdf?v=1784323806"/>
    <hyperlink ref="BY35" r:id="rId111" display="https://www.duromaxpower.com/products/durostar-14-000-watt-dual-fuel-open-frame-digital-inverter-generator"/>
    <hyperlink ref="BZ35" r:id="rId112" display="https://cdn.shopify.com/s/files/1/0613/1168/0689/files/DS14000iX_001.png?v=178286380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3"/>
  <legacyDrawing r:id="rId11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7"/>
    <col collapsed="false" customWidth="true" hidden="false" outlineLevel="0" max="3" min="3" style="0" width="11"/>
    <col collapsed="false" customWidth="true" hidden="false" outlineLevel="0" max="4" min="4" style="0" width="34"/>
    <col collapsed="false" customWidth="true" hidden="false" outlineLevel="0" max="5" min="5" style="0" width="40"/>
    <col collapsed="false" customWidth="true" hidden="false" outlineLevel="0" max="6" min="6" style="0" width="50"/>
    <col collapsed="false" customWidth="true" hidden="false" outlineLevel="0" max="7" min="7" style="0" width="34"/>
    <col collapsed="false" customWidth="true" hidden="false" outlineLevel="0" max="8" min="8" style="0" width="50"/>
  </cols>
  <sheetData>
    <row r="1" customFormat="false" ht="22.35" hidden="false" customHeight="false" outlineLevel="0" collapsed="false">
      <c r="A1" s="15" t="s">
        <v>429</v>
      </c>
      <c r="B1" s="15" t="s">
        <v>430</v>
      </c>
      <c r="C1" s="15" t="s">
        <v>431</v>
      </c>
      <c r="D1" s="15" t="s">
        <v>432</v>
      </c>
      <c r="E1" s="15" t="s">
        <v>433</v>
      </c>
      <c r="F1" s="15" t="s">
        <v>434</v>
      </c>
      <c r="G1" s="15" t="s">
        <v>63</v>
      </c>
      <c r="H1" s="15" t="s">
        <v>435</v>
      </c>
    </row>
    <row r="2" customFormat="false" ht="60" hidden="false" customHeight="true" outlineLevel="0" collapsed="false">
      <c r="A2" s="27" t="s">
        <v>436</v>
      </c>
      <c r="B2" s="28" t="n">
        <v>50</v>
      </c>
      <c r="C2" s="29" t="n">
        <v>12000</v>
      </c>
      <c r="D2" s="30" t="s">
        <v>437</v>
      </c>
      <c r="E2" s="30" t="s">
        <v>438</v>
      </c>
      <c r="F2" s="30" t="s">
        <v>439</v>
      </c>
      <c r="G2" s="30" t="s">
        <v>440</v>
      </c>
      <c r="H2" s="30" t="s">
        <v>441</v>
      </c>
    </row>
    <row r="3" customFormat="false" ht="60" hidden="false" customHeight="true" outlineLevel="0" collapsed="false">
      <c r="A3" s="27" t="s">
        <v>442</v>
      </c>
      <c r="B3" s="28" t="n">
        <v>30</v>
      </c>
      <c r="C3" s="29" t="n">
        <v>7200</v>
      </c>
      <c r="D3" s="30" t="s">
        <v>443</v>
      </c>
      <c r="E3" s="30" t="s">
        <v>444</v>
      </c>
      <c r="F3" s="30" t="s">
        <v>445</v>
      </c>
      <c r="G3" s="30" t="s">
        <v>446</v>
      </c>
      <c r="H3" s="30" t="s">
        <v>447</v>
      </c>
    </row>
    <row r="4" customFormat="false" ht="60" hidden="false" customHeight="true" outlineLevel="0" collapsed="false">
      <c r="A4" s="27" t="s">
        <v>448</v>
      </c>
      <c r="B4" s="28" t="n">
        <v>20</v>
      </c>
      <c r="C4" s="29" t="n">
        <v>4800</v>
      </c>
      <c r="D4" s="30" t="s">
        <v>449</v>
      </c>
      <c r="E4" s="30" t="s">
        <v>450</v>
      </c>
      <c r="F4" s="30" t="s">
        <v>451</v>
      </c>
      <c r="G4" s="30" t="s">
        <v>452</v>
      </c>
      <c r="H4" s="30" t="s">
        <v>453</v>
      </c>
    </row>
    <row r="5" customFormat="false" ht="60" hidden="false" customHeight="true" outlineLevel="0" collapsed="false">
      <c r="A5" s="27" t="s">
        <v>454</v>
      </c>
      <c r="B5" s="28" t="n">
        <v>0</v>
      </c>
      <c r="C5" s="29" t="n">
        <v>0</v>
      </c>
      <c r="D5" s="30" t="s">
        <v>455</v>
      </c>
      <c r="E5" s="30" t="s">
        <v>456</v>
      </c>
      <c r="F5" s="30" t="s">
        <v>457</v>
      </c>
      <c r="G5" s="30" t="s">
        <v>458</v>
      </c>
      <c r="H5" s="30" t="s">
        <v>459</v>
      </c>
    </row>
    <row r="7" customFormat="false" ht="15" hidden="false" customHeight="false" outlineLevel="0" collapsed="false">
      <c r="A7" s="31" t="s">
        <v>460</v>
      </c>
    </row>
    <row r="8" customFormat="false" ht="15" hidden="false" customHeight="false" outlineLevel="0" collapsed="false">
      <c r="A8" s="31" t="s">
        <v>461</v>
      </c>
    </row>
    <row r="9" customFormat="false" ht="15" hidden="false" customHeight="false" outlineLevel="0" collapsed="false">
      <c r="A9" s="31" t="s">
        <v>462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44"/>
    <col collapsed="false" customWidth="true" hidden="false" outlineLevel="0" max="4" min="4" style="0" width="9"/>
    <col collapsed="false" customWidth="true" hidden="false" outlineLevel="0" max="6" min="5" style="0" width="8"/>
    <col collapsed="false" customWidth="true" hidden="false" outlineLevel="0" max="7" min="7" style="0" width="9"/>
    <col collapsed="false" customWidth="true" hidden="false" outlineLevel="0" max="8" min="8" style="0" width="10"/>
    <col collapsed="false" customWidth="true" hidden="false" outlineLevel="0" max="9" min="9" style="0" width="6"/>
    <col collapsed="false" customWidth="true" hidden="false" outlineLevel="0" max="10" min="10" style="0" width="10"/>
    <col collapsed="false" customWidth="true" hidden="false" outlineLevel="0" max="11" min="11" style="0" width="8"/>
    <col collapsed="false" customWidth="true" hidden="false" outlineLevel="0" max="12" min="12" style="0" width="9"/>
    <col collapsed="false" customWidth="true" hidden="false" outlineLevel="0" max="13" min="13" style="0" width="30"/>
    <col collapsed="false" customWidth="true" hidden="false" outlineLevel="0" max="14" min="14" style="0" width="8"/>
    <col collapsed="false" customWidth="true" hidden="false" outlineLevel="0" max="15" min="15" style="0" width="18"/>
    <col collapsed="false" customWidth="true" hidden="false" outlineLevel="0" max="16" min="16" style="0" width="22"/>
    <col collapsed="false" customWidth="true" hidden="false" outlineLevel="0" max="17" min="17" style="0" width="8"/>
    <col collapsed="false" customWidth="true" hidden="false" outlineLevel="0" max="18" min="18" style="0" width="20"/>
    <col collapsed="false" customWidth="true" hidden="false" outlineLevel="0" max="19" min="19" style="0" width="9"/>
    <col collapsed="false" customWidth="true" hidden="false" outlineLevel="0" max="20" min="20" style="0" width="8"/>
    <col collapsed="false" customWidth="true" hidden="false" outlineLevel="0" max="21" min="21" style="0" width="6"/>
    <col collapsed="false" customWidth="true" hidden="false" outlineLevel="0" max="22" min="22" style="0" width="50"/>
    <col collapsed="false" customWidth="true" hidden="false" outlineLevel="0" max="24" min="23" style="0" width="40"/>
    <col collapsed="false" customWidth="true" hidden="false" outlineLevel="0" max="25" min="25" style="0" width="60"/>
  </cols>
  <sheetData>
    <row r="1" customFormat="false" ht="31.5" hidden="false" customHeight="true" outlineLevel="0" collapsed="false">
      <c r="A1" s="15" t="s">
        <v>463</v>
      </c>
      <c r="B1" s="15" t="s">
        <v>29</v>
      </c>
      <c r="C1" s="15" t="s">
        <v>464</v>
      </c>
      <c r="D1" s="15" t="s">
        <v>465</v>
      </c>
      <c r="E1" s="15" t="s">
        <v>466</v>
      </c>
      <c r="F1" s="15" t="s">
        <v>467</v>
      </c>
      <c r="G1" s="15" t="s">
        <v>468</v>
      </c>
      <c r="H1" s="15" t="s">
        <v>469</v>
      </c>
      <c r="I1" s="15" t="s">
        <v>430</v>
      </c>
      <c r="J1" s="15" t="s">
        <v>80</v>
      </c>
      <c r="K1" s="15" t="s">
        <v>470</v>
      </c>
      <c r="L1" s="15" t="s">
        <v>471</v>
      </c>
      <c r="M1" s="15" t="s">
        <v>472</v>
      </c>
      <c r="N1" s="15" t="s">
        <v>473</v>
      </c>
      <c r="O1" s="15" t="s">
        <v>474</v>
      </c>
      <c r="P1" s="15" t="s">
        <v>475</v>
      </c>
      <c r="Q1" s="15" t="s">
        <v>476</v>
      </c>
      <c r="R1" s="15" t="s">
        <v>477</v>
      </c>
      <c r="S1" s="15" t="s">
        <v>478</v>
      </c>
      <c r="T1" s="15" t="s">
        <v>479</v>
      </c>
      <c r="U1" s="15" t="s">
        <v>480</v>
      </c>
      <c r="V1" s="15" t="s">
        <v>481</v>
      </c>
      <c r="W1" s="15" t="s">
        <v>95</v>
      </c>
      <c r="X1" s="15" t="s">
        <v>96</v>
      </c>
      <c r="Y1" s="15" t="s">
        <v>97</v>
      </c>
    </row>
    <row r="2" customFormat="false" ht="48" hidden="false" customHeight="true" outlineLevel="0" collapsed="false">
      <c r="A2" s="17" t="s">
        <v>482</v>
      </c>
      <c r="B2" s="16" t="s">
        <v>483</v>
      </c>
      <c r="C2" s="18" t="s">
        <v>484</v>
      </c>
      <c r="D2" s="32" t="n">
        <v>579</v>
      </c>
      <c r="E2" s="16" t="s">
        <v>105</v>
      </c>
      <c r="F2" s="16" t="s">
        <v>485</v>
      </c>
      <c r="G2" s="16" t="s">
        <v>486</v>
      </c>
      <c r="H2" s="16" t="s">
        <v>487</v>
      </c>
      <c r="I2" s="16" t="n">
        <v>50</v>
      </c>
      <c r="J2" s="16" t="s">
        <v>112</v>
      </c>
      <c r="K2" s="16" t="n">
        <v>10</v>
      </c>
      <c r="L2" s="20" t="n">
        <v>12500</v>
      </c>
      <c r="M2" s="18" t="s">
        <v>488</v>
      </c>
      <c r="N2" s="16" t="n">
        <v>1</v>
      </c>
      <c r="O2" s="16" t="s">
        <v>489</v>
      </c>
      <c r="P2" s="18" t="s">
        <v>490</v>
      </c>
      <c r="Q2" s="16" t="s">
        <v>105</v>
      </c>
      <c r="R2" s="16"/>
      <c r="S2" s="16" t="s">
        <v>105</v>
      </c>
      <c r="T2" s="16" t="n">
        <v>1.33</v>
      </c>
      <c r="U2" s="16" t="s">
        <v>105</v>
      </c>
      <c r="V2" s="18" t="s">
        <v>491</v>
      </c>
      <c r="W2" s="26" t="s">
        <v>492</v>
      </c>
      <c r="X2" s="26" t="s">
        <v>493</v>
      </c>
      <c r="Y2" s="18" t="s">
        <v>494</v>
      </c>
    </row>
    <row r="3" customFormat="false" ht="48" hidden="false" customHeight="true" outlineLevel="0" collapsed="false">
      <c r="A3" s="17" t="s">
        <v>495</v>
      </c>
      <c r="B3" s="16" t="s">
        <v>483</v>
      </c>
      <c r="C3" s="18" t="s">
        <v>496</v>
      </c>
      <c r="D3" s="32" t="n">
        <v>559</v>
      </c>
      <c r="E3" s="16" t="s">
        <v>105</v>
      </c>
      <c r="F3" s="16" t="s">
        <v>485</v>
      </c>
      <c r="G3" s="16" t="s">
        <v>497</v>
      </c>
      <c r="H3" s="16"/>
      <c r="I3" s="16" t="n">
        <v>50</v>
      </c>
      <c r="J3" s="16" t="s">
        <v>112</v>
      </c>
      <c r="K3" s="16" t="n">
        <v>10</v>
      </c>
      <c r="L3" s="20" t="n">
        <v>12500</v>
      </c>
      <c r="M3" s="18" t="s">
        <v>498</v>
      </c>
      <c r="N3" s="16" t="n">
        <v>2</v>
      </c>
      <c r="O3" s="16" t="s">
        <v>499</v>
      </c>
      <c r="P3" s="18" t="s">
        <v>500</v>
      </c>
      <c r="Q3" s="16" t="s">
        <v>103</v>
      </c>
      <c r="R3" s="16"/>
      <c r="S3" s="16" t="s">
        <v>105</v>
      </c>
      <c r="T3" s="16" t="n">
        <v>1.5</v>
      </c>
      <c r="U3" s="16" t="s">
        <v>105</v>
      </c>
      <c r="V3" s="18" t="s">
        <v>501</v>
      </c>
      <c r="W3" s="26" t="s">
        <v>502</v>
      </c>
      <c r="X3" s="26" t="s">
        <v>503</v>
      </c>
      <c r="Y3" s="18" t="s">
        <v>504</v>
      </c>
    </row>
    <row r="4" customFormat="false" ht="48" hidden="false" customHeight="true" outlineLevel="0" collapsed="false">
      <c r="A4" s="17" t="s">
        <v>505</v>
      </c>
      <c r="B4" s="16" t="s">
        <v>483</v>
      </c>
      <c r="C4" s="18" t="s">
        <v>506</v>
      </c>
      <c r="D4" s="32" t="n">
        <v>467.3</v>
      </c>
      <c r="E4" s="16" t="s">
        <v>105</v>
      </c>
      <c r="F4" s="16" t="s">
        <v>485</v>
      </c>
      <c r="G4" s="16" t="s">
        <v>497</v>
      </c>
      <c r="H4" s="16"/>
      <c r="I4" s="16" t="n">
        <v>50</v>
      </c>
      <c r="J4" s="16" t="s">
        <v>112</v>
      </c>
      <c r="K4" s="16" t="n">
        <v>10</v>
      </c>
      <c r="L4" s="20" t="n">
        <v>12500</v>
      </c>
      <c r="M4" s="18" t="s">
        <v>488</v>
      </c>
      <c r="N4" s="16" t="n">
        <v>1</v>
      </c>
      <c r="O4" s="16" t="s">
        <v>507</v>
      </c>
      <c r="P4" s="18"/>
      <c r="Q4" s="16" t="s">
        <v>103</v>
      </c>
      <c r="R4" s="16"/>
      <c r="S4" s="16" t="s">
        <v>103</v>
      </c>
      <c r="T4" s="16" t="n">
        <v>1.33</v>
      </c>
      <c r="U4" s="16" t="s">
        <v>105</v>
      </c>
      <c r="V4" s="18" t="s">
        <v>508</v>
      </c>
      <c r="W4" s="26" t="s">
        <v>509</v>
      </c>
      <c r="X4" s="26" t="s">
        <v>510</v>
      </c>
      <c r="Y4" s="18" t="s">
        <v>511</v>
      </c>
    </row>
    <row r="5" customFormat="false" ht="48" hidden="false" customHeight="true" outlineLevel="0" collapsed="false">
      <c r="A5" s="17" t="s">
        <v>512</v>
      </c>
      <c r="B5" s="16" t="s">
        <v>483</v>
      </c>
      <c r="C5" s="18" t="s">
        <v>513</v>
      </c>
      <c r="D5" s="32" t="n">
        <v>529</v>
      </c>
      <c r="E5" s="16" t="s">
        <v>105</v>
      </c>
      <c r="F5" s="16" t="s">
        <v>485</v>
      </c>
      <c r="G5" s="16" t="s">
        <v>497</v>
      </c>
      <c r="H5" s="16"/>
      <c r="I5" s="16" t="n">
        <v>50</v>
      </c>
      <c r="J5" s="16" t="s">
        <v>112</v>
      </c>
      <c r="K5" s="16" t="n">
        <v>10</v>
      </c>
      <c r="L5" s="20" t="n">
        <v>12500</v>
      </c>
      <c r="M5" s="18" t="s">
        <v>514</v>
      </c>
      <c r="N5" s="16" t="n">
        <v>1</v>
      </c>
      <c r="O5" s="16" t="s">
        <v>499</v>
      </c>
      <c r="P5" s="18"/>
      <c r="Q5" s="16" t="s">
        <v>103</v>
      </c>
      <c r="R5" s="16"/>
      <c r="S5" s="16" t="s">
        <v>105</v>
      </c>
      <c r="T5" s="16" t="n">
        <v>1.5</v>
      </c>
      <c r="U5" s="16"/>
      <c r="V5" s="18" t="s">
        <v>515</v>
      </c>
      <c r="W5" s="26" t="s">
        <v>516</v>
      </c>
      <c r="X5" s="26" t="s">
        <v>517</v>
      </c>
      <c r="Y5" s="18" t="s">
        <v>518</v>
      </c>
    </row>
    <row r="6" customFormat="false" ht="48" hidden="false" customHeight="true" outlineLevel="0" collapsed="false">
      <c r="A6" s="17" t="s">
        <v>519</v>
      </c>
      <c r="B6" s="16" t="s">
        <v>483</v>
      </c>
      <c r="C6" s="18" t="s">
        <v>520</v>
      </c>
      <c r="D6" s="32" t="n">
        <v>348.1</v>
      </c>
      <c r="E6" s="16" t="s">
        <v>105</v>
      </c>
      <c r="F6" s="16" t="s">
        <v>485</v>
      </c>
      <c r="G6" s="16" t="s">
        <v>497</v>
      </c>
      <c r="H6" s="16"/>
      <c r="I6" s="16" t="n">
        <v>50</v>
      </c>
      <c r="J6" s="16" t="s">
        <v>112</v>
      </c>
      <c r="K6" s="16" t="n">
        <v>6</v>
      </c>
      <c r="L6" s="20" t="n">
        <v>12500</v>
      </c>
      <c r="M6" s="18" t="s">
        <v>521</v>
      </c>
      <c r="N6" s="16" t="n">
        <v>1</v>
      </c>
      <c r="O6" s="16" t="s">
        <v>522</v>
      </c>
      <c r="P6" s="18"/>
      <c r="Q6" s="16" t="s">
        <v>103</v>
      </c>
      <c r="R6" s="16"/>
      <c r="S6" s="16" t="s">
        <v>105</v>
      </c>
      <c r="T6" s="16" t="n">
        <v>1.33</v>
      </c>
      <c r="U6" s="16" t="s">
        <v>105</v>
      </c>
      <c r="V6" s="18" t="s">
        <v>523</v>
      </c>
      <c r="W6" s="26" t="s">
        <v>524</v>
      </c>
      <c r="X6" s="26" t="s">
        <v>525</v>
      </c>
      <c r="Y6" s="18" t="s">
        <v>526</v>
      </c>
    </row>
    <row r="7" customFormat="false" ht="48" hidden="false" customHeight="true" outlineLevel="0" collapsed="false">
      <c r="A7" s="17" t="s">
        <v>527</v>
      </c>
      <c r="B7" s="16" t="s">
        <v>483</v>
      </c>
      <c r="C7" s="18" t="s">
        <v>528</v>
      </c>
      <c r="D7" s="32" t="n">
        <v>303.8</v>
      </c>
      <c r="E7" s="16" t="s">
        <v>105</v>
      </c>
      <c r="F7" s="16" t="s">
        <v>485</v>
      </c>
      <c r="G7" s="16" t="s">
        <v>497</v>
      </c>
      <c r="H7" s="16"/>
      <c r="I7" s="16" t="n">
        <v>30</v>
      </c>
      <c r="J7" s="16" t="s">
        <v>112</v>
      </c>
      <c r="K7" s="16" t="n">
        <v>6</v>
      </c>
      <c r="L7" s="20" t="n">
        <v>7500</v>
      </c>
      <c r="M7" s="18" t="s">
        <v>529</v>
      </c>
      <c r="N7" s="16" t="n">
        <v>1</v>
      </c>
      <c r="O7" s="16" t="s">
        <v>522</v>
      </c>
      <c r="P7" s="18"/>
      <c r="Q7" s="16" t="s">
        <v>103</v>
      </c>
      <c r="R7" s="16"/>
      <c r="S7" s="16" t="s">
        <v>103</v>
      </c>
      <c r="T7" s="16" t="n">
        <v>1.33</v>
      </c>
      <c r="U7" s="16" t="s">
        <v>105</v>
      </c>
      <c r="V7" s="18" t="s">
        <v>530</v>
      </c>
      <c r="W7" s="26" t="s">
        <v>531</v>
      </c>
      <c r="X7" s="26" t="s">
        <v>532</v>
      </c>
      <c r="Y7" s="18" t="s">
        <v>533</v>
      </c>
    </row>
    <row r="8" customFormat="false" ht="48" hidden="false" customHeight="true" outlineLevel="0" collapsed="false">
      <c r="A8" s="17" t="s">
        <v>534</v>
      </c>
      <c r="B8" s="16" t="s">
        <v>483</v>
      </c>
      <c r="C8" s="18" t="s">
        <v>535</v>
      </c>
      <c r="D8" s="32" t="n">
        <v>299</v>
      </c>
      <c r="E8" s="16" t="s">
        <v>105</v>
      </c>
      <c r="F8" s="16" t="s">
        <v>485</v>
      </c>
      <c r="G8" s="16" t="s">
        <v>497</v>
      </c>
      <c r="H8" s="16"/>
      <c r="I8" s="16" t="n">
        <v>30</v>
      </c>
      <c r="J8" s="16" t="s">
        <v>112</v>
      </c>
      <c r="K8" s="16" t="n">
        <v>6</v>
      </c>
      <c r="L8" s="20" t="n">
        <v>7500</v>
      </c>
      <c r="M8" s="18" t="s">
        <v>536</v>
      </c>
      <c r="N8" s="16" t="n">
        <v>1</v>
      </c>
      <c r="O8" s="16" t="s">
        <v>537</v>
      </c>
      <c r="P8" s="18" t="s">
        <v>538</v>
      </c>
      <c r="Q8" s="16" t="s">
        <v>105</v>
      </c>
      <c r="R8" s="16"/>
      <c r="S8" s="16" t="s">
        <v>105</v>
      </c>
      <c r="T8" s="16" t="n">
        <v>1.33</v>
      </c>
      <c r="U8" s="16" t="s">
        <v>105</v>
      </c>
      <c r="V8" s="18" t="s">
        <v>539</v>
      </c>
      <c r="W8" s="26" t="s">
        <v>540</v>
      </c>
      <c r="X8" s="26" t="s">
        <v>541</v>
      </c>
      <c r="Y8" s="18" t="s">
        <v>542</v>
      </c>
    </row>
    <row r="9" customFormat="false" ht="48" hidden="false" customHeight="true" outlineLevel="0" collapsed="false">
      <c r="A9" s="17" t="s">
        <v>543</v>
      </c>
      <c r="B9" s="16" t="s">
        <v>483</v>
      </c>
      <c r="C9" s="18" t="s">
        <v>544</v>
      </c>
      <c r="D9" s="32" t="n">
        <v>479</v>
      </c>
      <c r="E9" s="16" t="s">
        <v>105</v>
      </c>
      <c r="F9" s="16" t="s">
        <v>485</v>
      </c>
      <c r="G9" s="16" t="s">
        <v>497</v>
      </c>
      <c r="H9" s="16"/>
      <c r="I9" s="16" t="n">
        <v>30</v>
      </c>
      <c r="J9" s="16" t="s">
        <v>112</v>
      </c>
      <c r="K9" s="16" t="n">
        <v>10</v>
      </c>
      <c r="L9" s="20" t="n">
        <v>7500</v>
      </c>
      <c r="M9" s="18" t="s">
        <v>545</v>
      </c>
      <c r="N9" s="16" t="n">
        <v>1</v>
      </c>
      <c r="O9" s="16" t="s">
        <v>499</v>
      </c>
      <c r="P9" s="18" t="s">
        <v>538</v>
      </c>
      <c r="Q9" s="16" t="s">
        <v>105</v>
      </c>
      <c r="R9" s="16" t="s">
        <v>546</v>
      </c>
      <c r="S9" s="16" t="s">
        <v>105</v>
      </c>
      <c r="T9" s="16" t="n">
        <v>1.5</v>
      </c>
      <c r="U9" s="16"/>
      <c r="V9" s="18" t="s">
        <v>547</v>
      </c>
      <c r="W9" s="26" t="s">
        <v>548</v>
      </c>
      <c r="X9" s="26" t="s">
        <v>549</v>
      </c>
      <c r="Y9" s="18" t="s">
        <v>550</v>
      </c>
    </row>
    <row r="10" customFormat="false" ht="48" hidden="false" customHeight="true" outlineLevel="0" collapsed="false">
      <c r="A10" s="17" t="s">
        <v>551</v>
      </c>
      <c r="B10" s="16" t="s">
        <v>483</v>
      </c>
      <c r="C10" s="18" t="s">
        <v>552</v>
      </c>
      <c r="D10" s="32" t="n">
        <v>329</v>
      </c>
      <c r="E10" s="16" t="s">
        <v>103</v>
      </c>
      <c r="F10" s="16" t="s">
        <v>485</v>
      </c>
      <c r="G10" s="16" t="s">
        <v>486</v>
      </c>
      <c r="H10" s="16" t="s">
        <v>487</v>
      </c>
      <c r="I10" s="16" t="n">
        <v>30</v>
      </c>
      <c r="J10" s="16" t="s">
        <v>112</v>
      </c>
      <c r="K10" s="16" t="n">
        <v>6</v>
      </c>
      <c r="L10" s="20" t="n">
        <v>7500</v>
      </c>
      <c r="M10" s="18" t="s">
        <v>536</v>
      </c>
      <c r="N10" s="16" t="n">
        <v>1</v>
      </c>
      <c r="O10" s="16" t="s">
        <v>553</v>
      </c>
      <c r="P10" s="18" t="s">
        <v>538</v>
      </c>
      <c r="Q10" s="16" t="s">
        <v>105</v>
      </c>
      <c r="R10" s="16"/>
      <c r="S10" s="16" t="s">
        <v>105</v>
      </c>
      <c r="T10" s="16" t="n">
        <v>1.33</v>
      </c>
      <c r="U10" s="16" t="s">
        <v>105</v>
      </c>
      <c r="V10" s="18" t="s">
        <v>554</v>
      </c>
      <c r="W10" s="26" t="s">
        <v>555</v>
      </c>
      <c r="X10" s="26" t="s">
        <v>556</v>
      </c>
      <c r="Y10" s="18" t="s">
        <v>557</v>
      </c>
    </row>
    <row r="11" customFormat="false" ht="48" hidden="false" customHeight="true" outlineLevel="0" collapsed="false">
      <c r="A11" s="17" t="s">
        <v>558</v>
      </c>
      <c r="B11" s="16" t="s">
        <v>483</v>
      </c>
      <c r="C11" s="18" t="s">
        <v>559</v>
      </c>
      <c r="D11" s="32" t="n">
        <v>349</v>
      </c>
      <c r="E11" s="16" t="s">
        <v>105</v>
      </c>
      <c r="F11" s="16" t="s">
        <v>485</v>
      </c>
      <c r="G11" s="16" t="s">
        <v>497</v>
      </c>
      <c r="H11" s="16"/>
      <c r="I11" s="16"/>
      <c r="J11" s="16" t="s">
        <v>112</v>
      </c>
      <c r="K11" s="16" t="n">
        <v>6</v>
      </c>
      <c r="L11" s="20" t="n">
        <v>7500</v>
      </c>
      <c r="M11" s="18"/>
      <c r="N11" s="16"/>
      <c r="O11" s="16" t="s">
        <v>560</v>
      </c>
      <c r="P11" s="18" t="s">
        <v>538</v>
      </c>
      <c r="Q11" s="16" t="s">
        <v>105</v>
      </c>
      <c r="R11" s="16" t="s">
        <v>561</v>
      </c>
      <c r="S11" s="16" t="s">
        <v>105</v>
      </c>
      <c r="T11" s="16" t="n">
        <v>1.33</v>
      </c>
      <c r="U11" s="16"/>
      <c r="V11" s="18" t="s">
        <v>562</v>
      </c>
      <c r="W11" s="26" t="s">
        <v>563</v>
      </c>
      <c r="X11" s="26" t="s">
        <v>564</v>
      </c>
      <c r="Y11" s="18" t="s">
        <v>565</v>
      </c>
    </row>
    <row r="12" customFormat="false" ht="48" hidden="false" customHeight="true" outlineLevel="0" collapsed="false">
      <c r="A12" s="17" t="s">
        <v>566</v>
      </c>
      <c r="B12" s="16" t="s">
        <v>483</v>
      </c>
      <c r="C12" s="18" t="s">
        <v>567</v>
      </c>
      <c r="D12" s="32" t="n">
        <v>459</v>
      </c>
      <c r="E12" s="16" t="s">
        <v>105</v>
      </c>
      <c r="F12" s="16" t="s">
        <v>485</v>
      </c>
      <c r="G12" s="16" t="s">
        <v>486</v>
      </c>
      <c r="H12" s="16" t="s">
        <v>487</v>
      </c>
      <c r="I12" s="16" t="n">
        <v>30</v>
      </c>
      <c r="J12" s="16" t="s">
        <v>112</v>
      </c>
      <c r="K12" s="16" t="n">
        <v>10</v>
      </c>
      <c r="L12" s="20" t="n">
        <v>7500</v>
      </c>
      <c r="M12" s="18" t="s">
        <v>568</v>
      </c>
      <c r="N12" s="16" t="n">
        <v>1</v>
      </c>
      <c r="O12" s="16" t="s">
        <v>569</v>
      </c>
      <c r="P12" s="18" t="s">
        <v>538</v>
      </c>
      <c r="Q12" s="16" t="s">
        <v>105</v>
      </c>
      <c r="R12" s="16"/>
      <c r="S12" s="16" t="s">
        <v>105</v>
      </c>
      <c r="T12" s="16" t="n">
        <v>1.33</v>
      </c>
      <c r="U12" s="16" t="s">
        <v>105</v>
      </c>
      <c r="V12" s="18" t="s">
        <v>570</v>
      </c>
      <c r="W12" s="26" t="s">
        <v>571</v>
      </c>
      <c r="X12" s="26" t="s">
        <v>572</v>
      </c>
      <c r="Y12" s="18" t="s">
        <v>573</v>
      </c>
    </row>
    <row r="13" customFormat="false" ht="48" hidden="false" customHeight="true" outlineLevel="0" collapsed="false">
      <c r="A13" s="17" t="s">
        <v>574</v>
      </c>
      <c r="B13" s="16" t="s">
        <v>483</v>
      </c>
      <c r="C13" s="18" t="s">
        <v>575</v>
      </c>
      <c r="D13" s="32" t="n">
        <v>114.99</v>
      </c>
      <c r="E13" s="16" t="s">
        <v>105</v>
      </c>
      <c r="F13" s="16" t="s">
        <v>485</v>
      </c>
      <c r="G13" s="16" t="s">
        <v>497</v>
      </c>
      <c r="H13" s="16"/>
      <c r="I13" s="16" t="n">
        <v>20</v>
      </c>
      <c r="J13" s="16"/>
      <c r="K13" s="16" t="n">
        <v>1</v>
      </c>
      <c r="L13" s="20" t="n">
        <v>2500</v>
      </c>
      <c r="M13" s="18" t="s">
        <v>576</v>
      </c>
      <c r="N13" s="16" t="n">
        <v>0</v>
      </c>
      <c r="O13" s="16" t="s">
        <v>577</v>
      </c>
      <c r="P13" s="18" t="s">
        <v>578</v>
      </c>
      <c r="Q13" s="16" t="s">
        <v>105</v>
      </c>
      <c r="R13" s="16"/>
      <c r="S13" s="16" t="s">
        <v>103</v>
      </c>
      <c r="T13" s="16" t="n">
        <v>1.5</v>
      </c>
      <c r="U13" s="16"/>
      <c r="V13" s="18" t="s">
        <v>579</v>
      </c>
      <c r="W13" s="26" t="s">
        <v>580</v>
      </c>
      <c r="X13" s="26" t="s">
        <v>581</v>
      </c>
      <c r="Y13" s="18" t="s">
        <v>582</v>
      </c>
    </row>
    <row r="14" customFormat="false" ht="48" hidden="false" customHeight="true" outlineLevel="0" collapsed="false">
      <c r="A14" s="17" t="s">
        <v>583</v>
      </c>
      <c r="B14" s="16" t="s">
        <v>483</v>
      </c>
      <c r="C14" s="18" t="s">
        <v>584</v>
      </c>
      <c r="D14" s="32" t="n">
        <v>109.99</v>
      </c>
      <c r="E14" s="16" t="s">
        <v>105</v>
      </c>
      <c r="F14" s="16" t="s">
        <v>485</v>
      </c>
      <c r="G14" s="16" t="s">
        <v>497</v>
      </c>
      <c r="H14" s="16"/>
      <c r="I14" s="16" t="n">
        <v>15</v>
      </c>
      <c r="J14" s="16"/>
      <c r="K14" s="16" t="n">
        <v>1</v>
      </c>
      <c r="L14" s="20" t="n">
        <v>1875</v>
      </c>
      <c r="M14" s="18" t="s">
        <v>585</v>
      </c>
      <c r="N14" s="16" t="n">
        <v>0</v>
      </c>
      <c r="O14" s="16" t="s">
        <v>577</v>
      </c>
      <c r="P14" s="18" t="s">
        <v>586</v>
      </c>
      <c r="Q14" s="16" t="s">
        <v>105</v>
      </c>
      <c r="R14" s="16"/>
      <c r="S14" s="16" t="s">
        <v>103</v>
      </c>
      <c r="T14" s="16" t="n">
        <v>1.5</v>
      </c>
      <c r="U14" s="16"/>
      <c r="V14" s="18" t="s">
        <v>579</v>
      </c>
      <c r="W14" s="26" t="s">
        <v>587</v>
      </c>
      <c r="X14" s="26" t="s">
        <v>588</v>
      </c>
      <c r="Y14" s="18" t="s">
        <v>589</v>
      </c>
    </row>
    <row r="15" customFormat="false" ht="48" hidden="false" customHeight="true" outlineLevel="0" collapsed="false">
      <c r="A15" s="17" t="s">
        <v>590</v>
      </c>
      <c r="B15" s="16" t="s">
        <v>483</v>
      </c>
      <c r="C15" s="18" t="s">
        <v>591</v>
      </c>
      <c r="D15" s="32" t="n">
        <v>661.2</v>
      </c>
      <c r="E15" s="16" t="s">
        <v>105</v>
      </c>
      <c r="F15" s="16" t="s">
        <v>485</v>
      </c>
      <c r="G15" s="16" t="s">
        <v>497</v>
      </c>
      <c r="H15" s="16"/>
      <c r="I15" s="16" t="n">
        <v>30</v>
      </c>
      <c r="J15" s="16"/>
      <c r="K15" s="16" t="n">
        <v>10</v>
      </c>
      <c r="L15" s="20" t="n">
        <v>7500</v>
      </c>
      <c r="M15" s="18"/>
      <c r="N15" s="16"/>
      <c r="O15" s="16" t="s">
        <v>499</v>
      </c>
      <c r="P15" s="18" t="s">
        <v>592</v>
      </c>
      <c r="Q15" s="16" t="s">
        <v>105</v>
      </c>
      <c r="R15" s="16" t="s">
        <v>593</v>
      </c>
      <c r="S15" s="16" t="s">
        <v>105</v>
      </c>
      <c r="T15" s="16"/>
      <c r="U15" s="16"/>
      <c r="V15" s="18" t="s">
        <v>594</v>
      </c>
      <c r="W15" s="26" t="s">
        <v>595</v>
      </c>
      <c r="X15" s="26" t="s">
        <v>596</v>
      </c>
      <c r="Y15" s="18" t="s">
        <v>597</v>
      </c>
    </row>
    <row r="16" customFormat="false" ht="48" hidden="false" customHeight="true" outlineLevel="0" collapsed="false">
      <c r="A16" s="17" t="s">
        <v>598</v>
      </c>
      <c r="B16" s="16" t="s">
        <v>483</v>
      </c>
      <c r="C16" s="18" t="s">
        <v>599</v>
      </c>
      <c r="D16" s="32" t="n">
        <v>429</v>
      </c>
      <c r="E16" s="16" t="s">
        <v>105</v>
      </c>
      <c r="F16" s="16" t="s">
        <v>485</v>
      </c>
      <c r="G16" s="16" t="s">
        <v>497</v>
      </c>
      <c r="H16" s="16"/>
      <c r="I16" s="16" t="n">
        <v>30</v>
      </c>
      <c r="J16" s="16" t="s">
        <v>112</v>
      </c>
      <c r="K16" s="16" t="n">
        <v>10</v>
      </c>
      <c r="L16" s="20" t="n">
        <v>7500</v>
      </c>
      <c r="M16" s="18"/>
      <c r="N16" s="16"/>
      <c r="O16" s="16" t="s">
        <v>600</v>
      </c>
      <c r="P16" s="18"/>
      <c r="Q16" s="16" t="s">
        <v>103</v>
      </c>
      <c r="R16" s="16"/>
      <c r="S16" s="16" t="s">
        <v>105</v>
      </c>
      <c r="T16" s="16" t="n">
        <v>1.5</v>
      </c>
      <c r="U16" s="16"/>
      <c r="V16" s="18" t="s">
        <v>601</v>
      </c>
      <c r="W16" s="26" t="s">
        <v>602</v>
      </c>
      <c r="X16" s="26" t="s">
        <v>603</v>
      </c>
      <c r="Y16" s="18" t="s">
        <v>604</v>
      </c>
    </row>
    <row r="17" customFormat="false" ht="48" hidden="false" customHeight="true" outlineLevel="0" collapsed="false">
      <c r="A17" s="17" t="s">
        <v>605</v>
      </c>
      <c r="B17" s="16" t="s">
        <v>483</v>
      </c>
      <c r="C17" s="18" t="s">
        <v>606</v>
      </c>
      <c r="D17" s="32" t="n">
        <v>463.2</v>
      </c>
      <c r="E17" s="16" t="s">
        <v>105</v>
      </c>
      <c r="F17" s="16" t="s">
        <v>485</v>
      </c>
      <c r="G17" s="16" t="s">
        <v>497</v>
      </c>
      <c r="H17" s="16" t="s">
        <v>607</v>
      </c>
      <c r="I17" s="16" t="n">
        <v>30</v>
      </c>
      <c r="J17" s="16" t="s">
        <v>112</v>
      </c>
      <c r="K17" s="16" t="n">
        <v>10</v>
      </c>
      <c r="L17" s="20" t="n">
        <v>7500</v>
      </c>
      <c r="M17" s="18" t="s">
        <v>608</v>
      </c>
      <c r="N17" s="16" t="n">
        <v>2</v>
      </c>
      <c r="O17" s="16" t="s">
        <v>499</v>
      </c>
      <c r="P17" s="18"/>
      <c r="Q17" s="16"/>
      <c r="R17" s="16"/>
      <c r="S17" s="16" t="s">
        <v>105</v>
      </c>
      <c r="T17" s="16" t="n">
        <v>1.5</v>
      </c>
      <c r="U17" s="16" t="s">
        <v>105</v>
      </c>
      <c r="V17" s="18" t="s">
        <v>609</v>
      </c>
      <c r="W17" s="26" t="s">
        <v>610</v>
      </c>
      <c r="X17" s="26" t="s">
        <v>611</v>
      </c>
      <c r="Y17" s="18" t="s">
        <v>612</v>
      </c>
    </row>
    <row r="18" customFormat="false" ht="48" hidden="false" customHeight="true" outlineLevel="0" collapsed="false">
      <c r="A18" s="17" t="s">
        <v>613</v>
      </c>
      <c r="B18" s="16" t="s">
        <v>483</v>
      </c>
      <c r="C18" s="18" t="s">
        <v>614</v>
      </c>
      <c r="D18" s="32" t="n">
        <v>342.5</v>
      </c>
      <c r="E18" s="16" t="s">
        <v>105</v>
      </c>
      <c r="F18" s="16" t="s">
        <v>485</v>
      </c>
      <c r="G18" s="16" t="s">
        <v>497</v>
      </c>
      <c r="H18" s="16"/>
      <c r="I18" s="16" t="n">
        <v>30</v>
      </c>
      <c r="J18" s="16" t="s">
        <v>112</v>
      </c>
      <c r="K18" s="16" t="n">
        <v>6</v>
      </c>
      <c r="L18" s="20" t="n">
        <v>7500</v>
      </c>
      <c r="M18" s="18"/>
      <c r="N18" s="16"/>
      <c r="O18" s="16" t="s">
        <v>615</v>
      </c>
      <c r="P18" s="18"/>
      <c r="Q18" s="16" t="s">
        <v>103</v>
      </c>
      <c r="R18" s="16"/>
      <c r="S18" s="16" t="s">
        <v>105</v>
      </c>
      <c r="T18" s="16" t="n">
        <v>1.33</v>
      </c>
      <c r="U18" s="16"/>
      <c r="V18" s="18" t="s">
        <v>616</v>
      </c>
      <c r="W18" s="26" t="s">
        <v>617</v>
      </c>
      <c r="X18" s="26" t="s">
        <v>618</v>
      </c>
      <c r="Y18" s="18" t="s">
        <v>619</v>
      </c>
    </row>
    <row r="19" customFormat="false" ht="48" hidden="false" customHeight="true" outlineLevel="0" collapsed="false">
      <c r="A19" s="17" t="s">
        <v>620</v>
      </c>
      <c r="B19" s="16" t="s">
        <v>483</v>
      </c>
      <c r="C19" s="18" t="s">
        <v>621</v>
      </c>
      <c r="D19" s="32" t="n">
        <v>349.4</v>
      </c>
      <c r="E19" s="16" t="s">
        <v>105</v>
      </c>
      <c r="F19" s="16" t="s">
        <v>485</v>
      </c>
      <c r="G19" s="16" t="s">
        <v>497</v>
      </c>
      <c r="H19" s="16"/>
      <c r="I19" s="16" t="n">
        <v>20</v>
      </c>
      <c r="J19" s="16" t="s">
        <v>112</v>
      </c>
      <c r="K19" s="16" t="n">
        <v>6</v>
      </c>
      <c r="L19" s="20" t="n">
        <v>5000</v>
      </c>
      <c r="M19" s="18" t="s">
        <v>536</v>
      </c>
      <c r="N19" s="16" t="n">
        <v>1</v>
      </c>
      <c r="O19" s="16"/>
      <c r="P19" s="18"/>
      <c r="Q19" s="16" t="s">
        <v>105</v>
      </c>
      <c r="R19" s="16"/>
      <c r="S19" s="16" t="s">
        <v>105</v>
      </c>
      <c r="T19" s="16" t="n">
        <v>1.5</v>
      </c>
      <c r="U19" s="16" t="s">
        <v>105</v>
      </c>
      <c r="V19" s="18" t="s">
        <v>622</v>
      </c>
      <c r="W19" s="26" t="s">
        <v>623</v>
      </c>
      <c r="X19" s="26" t="s">
        <v>624</v>
      </c>
      <c r="Y19" s="18" t="s">
        <v>625</v>
      </c>
    </row>
    <row r="20" customFormat="false" ht="48" hidden="false" customHeight="true" outlineLevel="0" collapsed="false">
      <c r="A20" s="17" t="s">
        <v>626</v>
      </c>
      <c r="B20" s="16" t="s">
        <v>483</v>
      </c>
      <c r="C20" s="18" t="s">
        <v>627</v>
      </c>
      <c r="D20" s="32" t="n">
        <v>390.4</v>
      </c>
      <c r="E20" s="16" t="s">
        <v>105</v>
      </c>
      <c r="F20" s="16" t="s">
        <v>485</v>
      </c>
      <c r="G20" s="16" t="s">
        <v>486</v>
      </c>
      <c r="H20" s="16" t="s">
        <v>487</v>
      </c>
      <c r="I20" s="16" t="n">
        <v>20</v>
      </c>
      <c r="J20" s="16" t="s">
        <v>112</v>
      </c>
      <c r="K20" s="16" t="n">
        <v>6</v>
      </c>
      <c r="L20" s="20" t="n">
        <v>5000</v>
      </c>
      <c r="M20" s="18" t="s">
        <v>536</v>
      </c>
      <c r="N20" s="16" t="n">
        <v>1</v>
      </c>
      <c r="O20" s="16" t="s">
        <v>628</v>
      </c>
      <c r="P20" s="18" t="s">
        <v>629</v>
      </c>
      <c r="Q20" s="16" t="s">
        <v>105</v>
      </c>
      <c r="R20" s="16"/>
      <c r="S20" s="16" t="s">
        <v>105</v>
      </c>
      <c r="T20" s="16" t="n">
        <v>1.33</v>
      </c>
      <c r="U20" s="16" t="s">
        <v>105</v>
      </c>
      <c r="V20" s="18" t="s">
        <v>630</v>
      </c>
      <c r="W20" s="26" t="s">
        <v>631</v>
      </c>
      <c r="X20" s="26" t="s">
        <v>632</v>
      </c>
      <c r="Y20" s="18" t="s">
        <v>633</v>
      </c>
    </row>
  </sheetData>
  <autoFilter ref="A1:Y20"/>
  <hyperlinks>
    <hyperlink ref="W2" r:id="rId1" display="https://www.duromaxpower.com/products/reliance-r510a-120-240v-50-amp-10-circuit-pro-tran-2-outdoor-transfer-switch"/>
    <hyperlink ref="X2" r:id="rId2" display="https://cdn.shopify.com/s/files/1/0613/1168/0689/files/R510A_1.jpg?v=1749582593"/>
    <hyperlink ref="W3" r:id="rId3" display="https://www.duromaxpower.com/products/reliance-a510c-120-240-volt-50-amp-10-circuit-pro-tran-2-transfer-switch"/>
    <hyperlink ref="X3" r:id="rId4" display="https://cdn.shopify.com/s/files/1/0613/1168/0689/files/A510C_1.jpg?v=1749582601"/>
    <hyperlink ref="W4" r:id="rId5" display="https://www.duromaxpower.com/products/reliance-510d-120-240-volt-50-amp-10-circuit-pro-tran-indoor-transfer-switch"/>
    <hyperlink ref="X4" r:id="rId6" display="https://cdn.shopify.com/s/files/1/0613/1168/0689/files/510D__1.jpg?v=1749582601"/>
    <hyperlink ref="W5" r:id="rId7" display="https://www.duromaxpower.com/products/reliance-510c-120-240-volt-50-amp-10-circuit-pro-tran-2-indoor-transfer-switch"/>
    <hyperlink ref="X5" r:id="rId8" display="https://cdn.shopify.com/s/files/1/0613/1168/0689/products/510C_1.jpg?v=1749582623"/>
    <hyperlink ref="W6" r:id="rId9" display="https://www.duromaxpower.com/products/reliance-506c-120-240-volt-50-amp-6-circuit-pro-tran-indoor-transfer-switch"/>
    <hyperlink ref="X6" r:id="rId10" display="https://cdn.shopify.com/s/files/1/0613/1168/0689/files/506C__1.jpg?v=1749582602"/>
    <hyperlink ref="W7" r:id="rId11" display="https://www.duromaxpower.com/products/reliance-306d-120-240-volt-30-amp-6-circuit-pro-tran-indoor-transfer-switch"/>
    <hyperlink ref="X7" r:id="rId12" display="https://cdn.shopify.com/s/files/1/0613/1168/0689/files/306D__1.jpg?v=1749582605"/>
    <hyperlink ref="W8" r:id="rId13" display="https://www.duromaxpower.com/products/reliance-306a-120-240-volt-30-amp-6-circuit-pro-tran-indoor-transfer-switch"/>
    <hyperlink ref="X8" r:id="rId14" display="https://cdn.shopify.com/s/files/1/0613/1168/0689/files/306A_1_f4b406a3-e962-4025-a98c-9d2ea1dc9345.jpg?v=1749582607"/>
    <hyperlink ref="W9" r:id="rId15" display="https://www.duromaxpower.com/products/reliance-310crk-120-240-volt-30-amp-10-circuit-pro-tran-2-transfer-switches"/>
    <hyperlink ref="X9" r:id="rId16" display="https://cdn.shopify.com/s/files/1/0613/1168/0689/files/310CRK_1.jpg?v=1749582603"/>
    <hyperlink ref="W10" r:id="rId17" display="https://www.duromaxpower.com/products/reliance-r306a-120-240-volt-30-amp-6-circuit-pro-tran-outdoor-transfer-switch"/>
    <hyperlink ref="X10" r:id="rId18" display="https://cdn.shopify.com/s/files/1/0613/1168/0689/files/R306A_1.jpg?v=1749582599"/>
    <hyperlink ref="W11" r:id="rId19" display="https://www.duromaxpower.com/products/reliance-306crk-pro-tran-2-indoor-6-circuit-transfer-switch-kit-w-meters"/>
    <hyperlink ref="X11" r:id="rId20" display="https://cdn.shopify.com/s/files/1/0613/1168/0689/files/306CRK_1_24ca2a2e-3a56-4bba-9c42-fc022c191a32.jpg?v=1749582605"/>
    <hyperlink ref="W12" r:id="rId21" display="https://www.duromaxpower.com/products/reliance-r310a-120-240-volt-30-amp-10-circuit-pro-tran-outdoor-transfer-switch"/>
    <hyperlink ref="X12" r:id="rId22" display="https://cdn.shopify.com/s/files/1/0613/1168/0689/files/R310A_1.jpg?v=1749582609"/>
    <hyperlink ref="W13" r:id="rId23" display="https://www.duromaxpower.com/products/reliance-tf201w-20a-easy-tran-furnace-transfer-switch-gray"/>
    <hyperlink ref="X13" r:id="rId24" display="https://cdn.shopify.com/s/files/1/0613/1168/0689/files/TF201W_1.jpg?v=1749582575"/>
    <hyperlink ref="W14" r:id="rId25" display="https://www.duromaxpower.com/products/reliance-tf151w-15a-easy-tran-furnace-transfer-switch-gray"/>
    <hyperlink ref="X14" r:id="rId26" display="https://cdn.shopify.com/s/files/1/0613/1168/0689/files/TF151W_1.jpg?v=1749582575"/>
    <hyperlink ref="W15" r:id="rId27" display="https://www.duromaxpower.com/products/reliance-310cdkn-30-amp-10-circuit-manual-transfer-switch-kit"/>
    <hyperlink ref="X15" r:id="rId28" display="https://cdn.shopify.com/s/files/1/0613/1168/0689/files/310CDKN_1.jpg?v=1749582597"/>
    <hyperlink ref="W16" r:id="rId29" display="https://www.duromaxpower.com/products/reliance-310c-120-240-volt-30-amp-10-circuit-pro-tran-2-transfer-switches"/>
    <hyperlink ref="X16" r:id="rId30" display="https://cdn.shopify.com/s/files/1/0613/1168/0689/files/310C_1.jpg?v=1749582604"/>
    <hyperlink ref="W17" r:id="rId31" display="https://www.duromaxpower.com/products/reliance-310d-120-240-volt-30-amp-10-circuit-pro-tran-indoor-transfer-switch"/>
    <hyperlink ref="X17" r:id="rId32" display="https://cdn.shopify.com/s/files/1/0613/1168/0689/files/310D_1.jpg?v=1749582608"/>
    <hyperlink ref="W18" r:id="rId33" display="https://www.duromaxpower.com/products/reliance-306c-120-240-volt-30-amp-6-circuit-pro-tran-indoor-transfer-switch"/>
    <hyperlink ref="X18" r:id="rId34" display="https://cdn.shopify.com/s/files/1/0613/1168/0689/files/306C_1.jpg?v=1749582606"/>
    <hyperlink ref="W19" r:id="rId35" display="https://www.duromaxpower.com/products/reliance-206a-120-240-volt-20-amp-6-circuit-pro-tran-indoor-transfer-switch"/>
    <hyperlink ref="X19" r:id="rId36" display="https://cdn.shopify.com/s/files/1/0613/1168/0689/files/206A_1_f2c4f8ec-3b14-4f7a-a48e-1de98757d82e.jpg?v=1749582607"/>
    <hyperlink ref="W20" r:id="rId37" display="https://www.duromaxpower.com/products/reliance-r206a-120-240-volt-20-amp-6-circuit-pro-tran-outdoor-transfer-switch"/>
    <hyperlink ref="X20" r:id="rId38" display="https://cdn.shopify.com/s/files/1/0613/1168/0689/files/R206A_1.jpg?v=174958260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9"/>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4"/>
    <col collapsed="false" customWidth="true" hidden="false" outlineLevel="0" max="3" min="3" style="0" width="9"/>
    <col collapsed="false" customWidth="true" hidden="false" outlineLevel="0" max="4" min="4" style="0" width="8"/>
    <col collapsed="false" customWidth="true" hidden="false" outlineLevel="0" max="5" min="5" style="0" width="20"/>
    <col collapsed="false" customWidth="true" hidden="false" outlineLevel="0" max="6" min="6" style="0" width="34"/>
    <col collapsed="false" customWidth="true" hidden="false" outlineLevel="0" max="7" min="7" style="0" width="18"/>
    <col collapsed="false" customWidth="true" hidden="false" outlineLevel="0" max="8" min="8" style="0" width="26"/>
    <col collapsed="false" customWidth="true" hidden="false" outlineLevel="0" max="11" min="9" style="0" width="30"/>
    <col collapsed="false" customWidth="true" hidden="false" outlineLevel="0" max="12" min="12" style="0" width="50"/>
    <col collapsed="false" customWidth="true" hidden="false" outlineLevel="0" max="14" min="13" style="0" width="40"/>
    <col collapsed="false" customWidth="true" hidden="false" outlineLevel="0" max="15" min="15" style="0" width="60"/>
  </cols>
  <sheetData>
    <row r="1" customFormat="false" ht="31.5" hidden="false" customHeight="true" outlineLevel="0" collapsed="false">
      <c r="A1" s="15" t="s">
        <v>463</v>
      </c>
      <c r="B1" s="15" t="s">
        <v>464</v>
      </c>
      <c r="C1" s="15" t="s">
        <v>465</v>
      </c>
      <c r="D1" s="15" t="s">
        <v>466</v>
      </c>
      <c r="E1" s="15" t="s">
        <v>634</v>
      </c>
      <c r="F1" s="15" t="s">
        <v>635</v>
      </c>
      <c r="G1" s="15" t="s">
        <v>636</v>
      </c>
      <c r="H1" s="15" t="s">
        <v>637</v>
      </c>
      <c r="I1" s="15" t="s">
        <v>638</v>
      </c>
      <c r="J1" s="15" t="s">
        <v>639</v>
      </c>
      <c r="K1" s="15" t="s">
        <v>640</v>
      </c>
      <c r="L1" s="15" t="s">
        <v>481</v>
      </c>
      <c r="M1" s="15" t="s">
        <v>95</v>
      </c>
      <c r="N1" s="15" t="s">
        <v>96</v>
      </c>
      <c r="O1" s="15" t="s">
        <v>97</v>
      </c>
    </row>
    <row r="2" customFormat="false" ht="48" hidden="false" customHeight="true" outlineLevel="0" collapsed="false">
      <c r="A2" s="17" t="s">
        <v>641</v>
      </c>
      <c r="B2" s="18" t="s">
        <v>642</v>
      </c>
      <c r="C2" s="32" t="n">
        <v>49.95</v>
      </c>
      <c r="D2" s="16" t="s">
        <v>105</v>
      </c>
      <c r="E2" s="16" t="s">
        <v>643</v>
      </c>
      <c r="F2" s="18" t="s">
        <v>644</v>
      </c>
      <c r="G2" s="18" t="s">
        <v>645</v>
      </c>
      <c r="H2" s="18" t="s">
        <v>646</v>
      </c>
      <c r="I2" s="18" t="s">
        <v>647</v>
      </c>
      <c r="J2" s="18" t="s">
        <v>648</v>
      </c>
      <c r="K2" s="18" t="s">
        <v>649</v>
      </c>
      <c r="L2" s="18" t="s">
        <v>650</v>
      </c>
      <c r="M2" s="26" t="s">
        <v>651</v>
      </c>
      <c r="N2" s="26" t="s">
        <v>652</v>
      </c>
      <c r="O2" s="18" t="s">
        <v>653</v>
      </c>
    </row>
    <row r="3" customFormat="false" ht="48" hidden="false" customHeight="true" outlineLevel="0" collapsed="false">
      <c r="A3" s="17" t="s">
        <v>654</v>
      </c>
      <c r="B3" s="18" t="s">
        <v>655</v>
      </c>
      <c r="C3" s="32" t="n">
        <v>67.95</v>
      </c>
      <c r="D3" s="16" t="s">
        <v>105</v>
      </c>
      <c r="E3" s="16" t="s">
        <v>656</v>
      </c>
      <c r="F3" s="18" t="s">
        <v>657</v>
      </c>
      <c r="G3" s="18" t="s">
        <v>645</v>
      </c>
      <c r="H3" s="18" t="s">
        <v>658</v>
      </c>
      <c r="I3" s="18" t="s">
        <v>647</v>
      </c>
      <c r="J3" s="18" t="s">
        <v>659</v>
      </c>
      <c r="K3" s="18" t="s">
        <v>660</v>
      </c>
      <c r="L3" s="18" t="s">
        <v>661</v>
      </c>
      <c r="M3" s="26" t="s">
        <v>662</v>
      </c>
      <c r="N3" s="26" t="s">
        <v>663</v>
      </c>
      <c r="O3" s="18" t="s">
        <v>653</v>
      </c>
    </row>
    <row r="4" customFormat="false" ht="48" hidden="false" customHeight="true" outlineLevel="0" collapsed="false">
      <c r="A4" s="17" t="s">
        <v>664</v>
      </c>
      <c r="B4" s="18" t="s">
        <v>665</v>
      </c>
      <c r="C4" s="32" t="n">
        <v>69.95</v>
      </c>
      <c r="D4" s="16" t="s">
        <v>105</v>
      </c>
      <c r="E4" s="16" t="s">
        <v>666</v>
      </c>
      <c r="F4" s="18" t="s">
        <v>667</v>
      </c>
      <c r="G4" s="18" t="s">
        <v>668</v>
      </c>
      <c r="H4" s="18" t="s">
        <v>669</v>
      </c>
      <c r="I4" s="18" t="s">
        <v>670</v>
      </c>
      <c r="J4" s="18" t="s">
        <v>671</v>
      </c>
      <c r="K4" s="18" t="s">
        <v>672</v>
      </c>
      <c r="L4" s="18" t="s">
        <v>673</v>
      </c>
      <c r="M4" s="26" t="s">
        <v>674</v>
      </c>
      <c r="N4" s="26" t="s">
        <v>675</v>
      </c>
      <c r="O4" s="18" t="s">
        <v>676</v>
      </c>
    </row>
    <row r="5" customFormat="false" ht="48" hidden="false" customHeight="true" outlineLevel="0" collapsed="false">
      <c r="A5" s="17" t="s">
        <v>677</v>
      </c>
      <c r="B5" s="18" t="s">
        <v>678</v>
      </c>
      <c r="C5" s="32" t="n">
        <v>69.95</v>
      </c>
      <c r="D5" s="16" t="s">
        <v>105</v>
      </c>
      <c r="E5" s="16" t="s">
        <v>679</v>
      </c>
      <c r="F5" s="18" t="s">
        <v>680</v>
      </c>
      <c r="G5" s="18" t="s">
        <v>645</v>
      </c>
      <c r="H5" s="18" t="s">
        <v>681</v>
      </c>
      <c r="I5" s="18" t="s">
        <v>670</v>
      </c>
      <c r="J5" s="18" t="s">
        <v>682</v>
      </c>
      <c r="K5" s="18" t="s">
        <v>683</v>
      </c>
      <c r="L5" s="18" t="s">
        <v>684</v>
      </c>
      <c r="M5" s="26" t="s">
        <v>685</v>
      </c>
      <c r="N5" s="26" t="s">
        <v>686</v>
      </c>
      <c r="O5" s="18" t="s">
        <v>687</v>
      </c>
    </row>
    <row r="6" customFormat="false" ht="48" hidden="false" customHeight="true" outlineLevel="0" collapsed="false">
      <c r="A6" s="17" t="s">
        <v>688</v>
      </c>
      <c r="B6" s="18" t="s">
        <v>689</v>
      </c>
      <c r="C6" s="32" t="n">
        <v>69.95</v>
      </c>
      <c r="D6" s="16" t="s">
        <v>105</v>
      </c>
      <c r="E6" s="16" t="s">
        <v>643</v>
      </c>
      <c r="F6" s="18" t="s">
        <v>690</v>
      </c>
      <c r="G6" s="18" t="s">
        <v>691</v>
      </c>
      <c r="H6" s="18" t="s">
        <v>669</v>
      </c>
      <c r="I6" s="18" t="s">
        <v>647</v>
      </c>
      <c r="J6" s="18" t="s">
        <v>692</v>
      </c>
      <c r="K6" s="18" t="s">
        <v>693</v>
      </c>
      <c r="L6" s="18" t="s">
        <v>694</v>
      </c>
      <c r="M6" s="26" t="s">
        <v>695</v>
      </c>
      <c r="N6" s="26" t="s">
        <v>696</v>
      </c>
      <c r="O6" s="18" t="s">
        <v>653</v>
      </c>
    </row>
    <row r="7" customFormat="false" ht="48" hidden="false" customHeight="true" outlineLevel="0" collapsed="false">
      <c r="A7" s="17" t="s">
        <v>697</v>
      </c>
      <c r="B7" s="18" t="s">
        <v>698</v>
      </c>
      <c r="C7" s="32" t="n">
        <v>69.95</v>
      </c>
      <c r="D7" s="16" t="s">
        <v>105</v>
      </c>
      <c r="E7" s="16" t="s">
        <v>699</v>
      </c>
      <c r="F7" s="18" t="s">
        <v>700</v>
      </c>
      <c r="G7" s="18" t="s">
        <v>645</v>
      </c>
      <c r="H7" s="18" t="s">
        <v>701</v>
      </c>
      <c r="I7" s="18" t="s">
        <v>647</v>
      </c>
      <c r="J7" s="18" t="s">
        <v>702</v>
      </c>
      <c r="K7" s="18" t="s">
        <v>703</v>
      </c>
      <c r="L7" s="18" t="s">
        <v>704</v>
      </c>
      <c r="M7" s="26" t="s">
        <v>705</v>
      </c>
      <c r="N7" s="26" t="s">
        <v>706</v>
      </c>
      <c r="O7" s="18" t="s">
        <v>707</v>
      </c>
    </row>
    <row r="8" customFormat="false" ht="48" hidden="false" customHeight="true" outlineLevel="0" collapsed="false">
      <c r="A8" s="17" t="s">
        <v>708</v>
      </c>
      <c r="B8" s="18" t="s">
        <v>709</v>
      </c>
      <c r="C8" s="32" t="n">
        <v>67.95</v>
      </c>
      <c r="D8" s="16" t="s">
        <v>105</v>
      </c>
      <c r="E8" s="16" t="s">
        <v>666</v>
      </c>
      <c r="F8" s="18" t="s">
        <v>710</v>
      </c>
      <c r="G8" s="18" t="s">
        <v>711</v>
      </c>
      <c r="H8" s="18" t="s">
        <v>712</v>
      </c>
      <c r="I8" s="18" t="s">
        <v>647</v>
      </c>
      <c r="J8" s="18" t="s">
        <v>713</v>
      </c>
      <c r="K8" s="18" t="s">
        <v>714</v>
      </c>
      <c r="L8" s="18" t="s">
        <v>715</v>
      </c>
      <c r="M8" s="26" t="s">
        <v>716</v>
      </c>
      <c r="N8" s="26" t="s">
        <v>717</v>
      </c>
      <c r="O8" s="18" t="s">
        <v>653</v>
      </c>
    </row>
    <row r="9" customFormat="false" ht="48" hidden="false" customHeight="true" outlineLevel="0" collapsed="false">
      <c r="A9" s="17" t="s">
        <v>718</v>
      </c>
      <c r="B9" s="18" t="s">
        <v>719</v>
      </c>
      <c r="C9" s="32" t="n">
        <v>69.95</v>
      </c>
      <c r="D9" s="16" t="s">
        <v>105</v>
      </c>
      <c r="E9" s="16" t="s">
        <v>720</v>
      </c>
      <c r="F9" s="18" t="s">
        <v>721</v>
      </c>
      <c r="G9" s="18" t="s">
        <v>645</v>
      </c>
      <c r="H9" s="18" t="s">
        <v>658</v>
      </c>
      <c r="I9" s="18" t="s">
        <v>670</v>
      </c>
      <c r="J9" s="18" t="s">
        <v>722</v>
      </c>
      <c r="K9" s="18" t="s">
        <v>723</v>
      </c>
      <c r="L9" s="18" t="s">
        <v>724</v>
      </c>
      <c r="M9" s="26" t="s">
        <v>725</v>
      </c>
      <c r="N9" s="26" t="s">
        <v>726</v>
      </c>
      <c r="O9" s="18" t="s">
        <v>727</v>
      </c>
    </row>
    <row r="10" customFormat="false" ht="48" hidden="false" customHeight="true" outlineLevel="0" collapsed="false">
      <c r="A10" s="17" t="s">
        <v>728</v>
      </c>
      <c r="B10" s="18" t="s">
        <v>729</v>
      </c>
      <c r="C10" s="32" t="n">
        <v>64.95</v>
      </c>
      <c r="D10" s="16" t="s">
        <v>105</v>
      </c>
      <c r="E10" s="16" t="s">
        <v>643</v>
      </c>
      <c r="F10" s="18" t="s">
        <v>730</v>
      </c>
      <c r="G10" s="18" t="s">
        <v>731</v>
      </c>
      <c r="H10" s="18" t="s">
        <v>732</v>
      </c>
      <c r="I10" s="18" t="s">
        <v>733</v>
      </c>
      <c r="J10" s="18" t="s">
        <v>734</v>
      </c>
      <c r="K10" s="18" t="s">
        <v>735</v>
      </c>
      <c r="L10" s="18" t="s">
        <v>736</v>
      </c>
      <c r="M10" s="26" t="s">
        <v>737</v>
      </c>
      <c r="N10" s="26" t="s">
        <v>738</v>
      </c>
      <c r="O10" s="18" t="s">
        <v>739</v>
      </c>
    </row>
    <row r="11" customFormat="false" ht="48" hidden="false" customHeight="true" outlineLevel="0" collapsed="false">
      <c r="A11" s="17" t="s">
        <v>740</v>
      </c>
      <c r="B11" s="18" t="s">
        <v>741</v>
      </c>
      <c r="C11" s="32" t="n">
        <v>69.95</v>
      </c>
      <c r="D11" s="16" t="s">
        <v>105</v>
      </c>
      <c r="E11" s="16" t="s">
        <v>699</v>
      </c>
      <c r="F11" s="18" t="s">
        <v>742</v>
      </c>
      <c r="G11" s="18" t="s">
        <v>711</v>
      </c>
      <c r="H11" s="18" t="s">
        <v>743</v>
      </c>
      <c r="I11" s="18" t="s">
        <v>744</v>
      </c>
      <c r="J11" s="18" t="s">
        <v>745</v>
      </c>
      <c r="K11" s="18" t="s">
        <v>746</v>
      </c>
      <c r="L11" s="18" t="s">
        <v>747</v>
      </c>
      <c r="M11" s="26" t="s">
        <v>748</v>
      </c>
      <c r="N11" s="26" t="s">
        <v>749</v>
      </c>
      <c r="O11" s="18" t="s">
        <v>750</v>
      </c>
    </row>
    <row r="12" customFormat="false" ht="48" hidden="false" customHeight="true" outlineLevel="0" collapsed="false">
      <c r="A12" s="17" t="s">
        <v>751</v>
      </c>
      <c r="B12" s="18" t="s">
        <v>752</v>
      </c>
      <c r="C12" s="32" t="n">
        <v>69.95</v>
      </c>
      <c r="D12" s="16" t="s">
        <v>105</v>
      </c>
      <c r="E12" s="16" t="s">
        <v>753</v>
      </c>
      <c r="F12" s="18" t="s">
        <v>754</v>
      </c>
      <c r="G12" s="18" t="s">
        <v>645</v>
      </c>
      <c r="H12" s="18" t="s">
        <v>681</v>
      </c>
      <c r="I12" s="18" t="s">
        <v>670</v>
      </c>
      <c r="J12" s="18" t="s">
        <v>755</v>
      </c>
      <c r="K12" s="18" t="s">
        <v>756</v>
      </c>
      <c r="L12" s="18" t="s">
        <v>757</v>
      </c>
      <c r="M12" s="26" t="s">
        <v>758</v>
      </c>
      <c r="N12" s="26" t="s">
        <v>759</v>
      </c>
      <c r="O12" s="18" t="s">
        <v>760</v>
      </c>
    </row>
    <row r="13" customFormat="false" ht="48" hidden="false" customHeight="true" outlineLevel="0" collapsed="false">
      <c r="A13" s="17" t="s">
        <v>761</v>
      </c>
      <c r="B13" s="18" t="s">
        <v>762</v>
      </c>
      <c r="C13" s="32" t="n">
        <v>64.99</v>
      </c>
      <c r="D13" s="16" t="s">
        <v>103</v>
      </c>
      <c r="E13" s="16" t="s">
        <v>720</v>
      </c>
      <c r="F13" s="18" t="s">
        <v>763</v>
      </c>
      <c r="G13" s="18" t="s">
        <v>645</v>
      </c>
      <c r="H13" s="18" t="s">
        <v>764</v>
      </c>
      <c r="I13" s="18" t="s">
        <v>670</v>
      </c>
      <c r="J13" s="18" t="s">
        <v>765</v>
      </c>
      <c r="K13" s="18" t="s">
        <v>766</v>
      </c>
      <c r="L13" s="18" t="s">
        <v>767</v>
      </c>
      <c r="M13" s="26" t="s">
        <v>768</v>
      </c>
      <c r="N13" s="26" t="s">
        <v>769</v>
      </c>
      <c r="O13" s="18" t="s">
        <v>770</v>
      </c>
    </row>
    <row r="14" customFormat="false" ht="48" hidden="false" customHeight="true" outlineLevel="0" collapsed="false">
      <c r="A14" s="17" t="s">
        <v>771</v>
      </c>
      <c r="B14" s="18" t="s">
        <v>772</v>
      </c>
      <c r="C14" s="32" t="n">
        <v>69.95</v>
      </c>
      <c r="D14" s="16" t="s">
        <v>103</v>
      </c>
      <c r="E14" s="16" t="s">
        <v>773</v>
      </c>
      <c r="F14" s="18" t="s">
        <v>774</v>
      </c>
      <c r="G14" s="18" t="s">
        <v>645</v>
      </c>
      <c r="H14" s="18" t="s">
        <v>775</v>
      </c>
      <c r="I14" s="18" t="s">
        <v>776</v>
      </c>
      <c r="J14" s="18"/>
      <c r="K14" s="18" t="s">
        <v>777</v>
      </c>
      <c r="L14" s="18" t="s">
        <v>778</v>
      </c>
      <c r="M14" s="26" t="s">
        <v>779</v>
      </c>
      <c r="N14" s="26" t="s">
        <v>780</v>
      </c>
      <c r="O14" s="18" t="s">
        <v>781</v>
      </c>
    </row>
  </sheetData>
  <autoFilter ref="A1:O14"/>
  <hyperlinks>
    <hyperlink ref="M2" r:id="rId1" display="https://www.duromaxpower.com/products/geninterlock-sd-200a-generator-interlock-kit-breaker-panel-150-200-amp-panels-square-d-qo-and-homeline"/>
    <hyperlink ref="N2" r:id="rId2" display="https://cdn.shopify.com/s/files/1/0613/1168/0689/files/GLK-SD-200A_1_1800x1800-2.png?v=1749582592"/>
    <hyperlink ref="M3" r:id="rId3" display="https://www.duromaxpower.com/products/geninterlock-eat-pn200-generator-interlock-kit-breaker-panel-150-200-amp-panels-cutler-hammer-br-series"/>
    <hyperlink ref="N3" r:id="rId4" display="https://cdn.shopify.com/s/files/1/0613/1168/0689/files/GLK-EAT-PN200_1_cc17d7e6-16ed-4bf6-8b4f-0929adbdfe77_1800x1800-2.png?v=1749582591"/>
    <hyperlink ref="M4" r:id="rId5" display="https://www.duromaxpower.com/products/geninterlock-ge-200vl-generator-interlock-kit-breaker-panel-150-200-amp-panels-general-electric-vertical"/>
    <hyperlink ref="N4" r:id="rId6" display="https://cdn.shopify.com/s/files/1/0613/1168/0689/files/GLK-GE-200VL_1_1800x1800-2.png?v=1749582587"/>
    <hyperlink ref="M5" r:id="rId7" display="https://www.duromaxpower.com/products/geninterlock-ite-200a-generator-interlock-kit-breaker-panel-150-200-amp-panels-siemens-and-ite"/>
    <hyperlink ref="N5" r:id="rId8" display="https://cdn.shopify.com/s/files/1/0613/1168/0689/files/GLK-ITE-200A_1_1800x1800-2.png?v=1749582590"/>
    <hyperlink ref="M6" r:id="rId9" display="https://www.duromaxpower.com/products/geninterlock-sd-200vl-generator-interlock-kit-breaker-panel-150-200-amp-3-1-4-4-square-d-vertical-throw"/>
    <hyperlink ref="N6" r:id="rId10" display="https://cdn.shopify.com/s/files/1/0613/1168/0689/files/GLK-SD-200VL_1_1800x1800-2.png?v=1749582585"/>
    <hyperlink ref="M7" r:id="rId11" display="https://www.duromaxpower.com/products/geninterlock-sie-p2-generator-interlock-kit-breaker-panel-150-200-amp-panels-siemens-and-murray"/>
    <hyperlink ref="N7" r:id="rId12" display="https://cdn.shopify.com/s/files/1/0613/1168/0689/files/GLK-SIE-P2_1_1800x1800-2.png?v=1749582589"/>
    <hyperlink ref="M8" r:id="rId13" display="https://www.duromaxpower.com/products/geninterlock-ge-100a-generator-interlock-kit-breaker-panel-100-amp-panels-general-electric-ge"/>
    <hyperlink ref="N8" r:id="rId14" display="https://cdn.shopify.com/s/files/1/0613/1168/0689/files/GLK-GE-100A_1_1800x1800-2.png?v=1749582582"/>
    <hyperlink ref="M9" r:id="rId15" display="https://www.duromaxpower.com/products/geninterlock-eat-ch200a-generator-interlock-kit-breaker-panel-150-200-amp-ch-panels-eaton-cutler-hammer"/>
    <hyperlink ref="N9" r:id="rId16" display="https://cdn.shopify.com/s/files/1/0613/1168/0689/files/GLK-EAT-CH200A_1_1800x1800-2.png?v=1749582588"/>
    <hyperlink ref="M10" r:id="rId17" display="https://www.duromaxpower.com/products/geninterlock-sd-200sa-generator-interlock-kit-breaker-panel-150-200-amp-panels-square-d-meter-main-homeline"/>
    <hyperlink ref="N10" r:id="rId18" display="https://cdn.shopify.com/s/files/1/0613/1168/0689/files/GLK-SD-200SA_1_1800x1800-2.png?v=1749582581"/>
    <hyperlink ref="M11" r:id="rId19" display="https://www.duromaxpower.com/products/geninterlock-sie-p1-generator-interlock-kit-breaker-panel-100-amp-panels-siemens-and-murray"/>
    <hyperlink ref="N11" r:id="rId20" display="https://cdn.shopify.com/s/files/1/0613/1168/0689/files/GLK-SIE-P1_1_1800x1800-2.png?v=1749582579"/>
    <hyperlink ref="M12" r:id="rId21" display="https://www.duromaxpower.com/products/geninterlock-ge-200hda-generator-interlock-kit-breaker-panel-150-200-amp-newer-vertical-main"/>
    <hyperlink ref="N12" r:id="rId22" display="https://cdn.shopify.com/s/files/1/0613/1168/0689/files/GLK-GE-200HDA_1_1800x1800-2.png?v=1749582584"/>
    <hyperlink ref="M13" r:id="rId23" display="https://www.duromaxpower.com/products/geninterlock-eat-ch200xa-generator-interlock-kit-breaker-panel-150-200-amp-panels-eaton-cutler-hammer"/>
    <hyperlink ref="N13" r:id="rId24" display="https://cdn.shopify.com/s/files/1/0613/1168/0689/files/GLK-EAT-CH200XA_1_1800x1800-2.png?v=1749582583"/>
    <hyperlink ref="M14" r:id="rId25" display="https://www.duromaxpower.com/products/geninterlock-bry-200a-generator-interlock-kit-breaker-panel-150-200-amp-bryant-w-horizontal-throw"/>
    <hyperlink ref="N14" r:id="rId26" display="https://cdn.shopify.com/s/files/1/0613/1168/0689/files/GLK-BRY-200A_1_1800x1800-2.png?v=1749582578"/>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7"/>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44"/>
    <col collapsed="false" customWidth="true" hidden="false" outlineLevel="0" max="4" min="4" style="0" width="9"/>
    <col collapsed="false" customWidth="true" hidden="false" outlineLevel="0" max="5" min="5" style="0" width="8"/>
    <col collapsed="false" customWidth="true" hidden="false" outlineLevel="0" max="6" min="6" style="0" width="10"/>
    <col collapsed="false" customWidth="true" hidden="false" outlineLevel="0" max="7" min="7" style="0" width="6"/>
    <col collapsed="false" customWidth="true" hidden="false" outlineLevel="0" max="8" min="8" style="0" width="10"/>
    <col collapsed="false" customWidth="true" hidden="false" outlineLevel="0" max="9" min="9" style="0" width="9"/>
    <col collapsed="false" customWidth="true" hidden="false" outlineLevel="0" max="10" min="10" style="0" width="26"/>
    <col collapsed="false" customWidth="true" hidden="false" outlineLevel="0" max="11" min="11" style="0" width="16"/>
    <col collapsed="false" customWidth="true" hidden="false" outlineLevel="0" max="12" min="12" style="0" width="30"/>
    <col collapsed="false" customWidth="true" hidden="false" outlineLevel="0" max="13" min="13" style="0" width="50"/>
    <col collapsed="false" customWidth="true" hidden="false" outlineLevel="0" max="15" min="14" style="0" width="40"/>
    <col collapsed="false" customWidth="true" hidden="false" outlineLevel="0" max="16" min="16" style="0" width="60"/>
  </cols>
  <sheetData>
    <row r="1" customFormat="false" ht="31.5" hidden="false" customHeight="true" outlineLevel="0" collapsed="false">
      <c r="A1" s="15" t="s">
        <v>463</v>
      </c>
      <c r="B1" s="15" t="s">
        <v>29</v>
      </c>
      <c r="C1" s="15" t="s">
        <v>464</v>
      </c>
      <c r="D1" s="15" t="s">
        <v>465</v>
      </c>
      <c r="E1" s="15" t="s">
        <v>466</v>
      </c>
      <c r="F1" s="15" t="s">
        <v>782</v>
      </c>
      <c r="G1" s="15" t="s">
        <v>430</v>
      </c>
      <c r="H1" s="15" t="s">
        <v>80</v>
      </c>
      <c r="I1" s="15" t="s">
        <v>471</v>
      </c>
      <c r="J1" s="15" t="s">
        <v>469</v>
      </c>
      <c r="K1" s="15" t="s">
        <v>783</v>
      </c>
      <c r="L1" s="15" t="s">
        <v>784</v>
      </c>
      <c r="M1" s="15" t="s">
        <v>481</v>
      </c>
      <c r="N1" s="15" t="s">
        <v>95</v>
      </c>
      <c r="O1" s="15" t="s">
        <v>96</v>
      </c>
      <c r="P1" s="15" t="s">
        <v>97</v>
      </c>
    </row>
    <row r="2" customFormat="false" ht="42" hidden="false" customHeight="true" outlineLevel="0" collapsed="false">
      <c r="A2" s="17" t="s">
        <v>785</v>
      </c>
      <c r="B2" s="16" t="s">
        <v>98</v>
      </c>
      <c r="C2" s="18" t="s">
        <v>786</v>
      </c>
      <c r="D2" s="32" t="n">
        <v>79.99</v>
      </c>
      <c r="E2" s="16" t="s">
        <v>105</v>
      </c>
      <c r="F2" s="16"/>
      <c r="G2" s="16" t="n">
        <v>50</v>
      </c>
      <c r="H2" s="16" t="s">
        <v>787</v>
      </c>
      <c r="I2" s="20" t="n">
        <v>12500</v>
      </c>
      <c r="J2" s="18" t="s">
        <v>788</v>
      </c>
      <c r="K2" s="16" t="s">
        <v>789</v>
      </c>
      <c r="L2" s="18" t="s">
        <v>790</v>
      </c>
      <c r="M2" s="18" t="s">
        <v>791</v>
      </c>
      <c r="N2" s="26" t="s">
        <v>792</v>
      </c>
      <c r="O2" s="26" t="s">
        <v>793</v>
      </c>
      <c r="P2" s="18" t="s">
        <v>794</v>
      </c>
    </row>
    <row r="3" customFormat="false" ht="42" hidden="false" customHeight="true" outlineLevel="0" collapsed="false">
      <c r="A3" s="17" t="s">
        <v>795</v>
      </c>
      <c r="B3" s="16" t="s">
        <v>98</v>
      </c>
      <c r="C3" s="18" t="s">
        <v>796</v>
      </c>
      <c r="D3" s="32" t="n">
        <v>79.99</v>
      </c>
      <c r="E3" s="16" t="s">
        <v>105</v>
      </c>
      <c r="F3" s="16" t="s">
        <v>797</v>
      </c>
      <c r="G3" s="16" t="n">
        <v>50</v>
      </c>
      <c r="H3" s="16" t="s">
        <v>798</v>
      </c>
      <c r="I3" s="20" t="n">
        <v>12500</v>
      </c>
      <c r="J3" s="18" t="s">
        <v>799</v>
      </c>
      <c r="K3" s="16" t="s">
        <v>800</v>
      </c>
      <c r="L3" s="18" t="s">
        <v>801</v>
      </c>
      <c r="M3" s="18" t="s">
        <v>802</v>
      </c>
      <c r="N3" s="26" t="s">
        <v>803</v>
      </c>
      <c r="O3" s="26" t="s">
        <v>804</v>
      </c>
      <c r="P3" s="18" t="s">
        <v>805</v>
      </c>
    </row>
    <row r="4" customFormat="false" ht="42" hidden="false" customHeight="true" outlineLevel="0" collapsed="false">
      <c r="A4" s="17" t="s">
        <v>806</v>
      </c>
      <c r="B4" s="16" t="s">
        <v>483</v>
      </c>
      <c r="C4" s="18" t="s">
        <v>807</v>
      </c>
      <c r="D4" s="32" t="n">
        <v>84.99</v>
      </c>
      <c r="E4" s="16" t="s">
        <v>105</v>
      </c>
      <c r="F4" s="16"/>
      <c r="G4" s="16" t="n">
        <v>50</v>
      </c>
      <c r="H4" s="16" t="s">
        <v>787</v>
      </c>
      <c r="I4" s="20" t="n">
        <v>12500</v>
      </c>
      <c r="J4" s="18" t="s">
        <v>808</v>
      </c>
      <c r="K4" s="16" t="s">
        <v>809</v>
      </c>
      <c r="L4" s="18"/>
      <c r="M4" s="18" t="s">
        <v>810</v>
      </c>
      <c r="N4" s="26" t="s">
        <v>811</v>
      </c>
      <c r="O4" s="26" t="s">
        <v>812</v>
      </c>
      <c r="P4" s="18" t="s">
        <v>813</v>
      </c>
    </row>
    <row r="5" customFormat="false" ht="42" hidden="false" customHeight="true" outlineLevel="0" collapsed="false">
      <c r="A5" s="17" t="s">
        <v>814</v>
      </c>
      <c r="B5" s="16" t="s">
        <v>483</v>
      </c>
      <c r="C5" s="18" t="s">
        <v>815</v>
      </c>
      <c r="D5" s="32" t="n">
        <v>74.99</v>
      </c>
      <c r="E5" s="16" t="s">
        <v>103</v>
      </c>
      <c r="F5" s="16" t="s">
        <v>797</v>
      </c>
      <c r="G5" s="16" t="n">
        <v>50</v>
      </c>
      <c r="H5" s="16" t="s">
        <v>798</v>
      </c>
      <c r="I5" s="20" t="n">
        <v>12500</v>
      </c>
      <c r="J5" s="18" t="s">
        <v>799</v>
      </c>
      <c r="K5" s="16"/>
      <c r="L5" s="18" t="s">
        <v>801</v>
      </c>
      <c r="M5" s="18" t="s">
        <v>816</v>
      </c>
      <c r="N5" s="26" t="s">
        <v>817</v>
      </c>
      <c r="O5" s="26" t="s">
        <v>818</v>
      </c>
      <c r="P5" s="18" t="s">
        <v>819</v>
      </c>
    </row>
    <row r="6" customFormat="false" ht="42" hidden="false" customHeight="true" outlineLevel="0" collapsed="false">
      <c r="A6" s="17" t="s">
        <v>820</v>
      </c>
      <c r="B6" s="16" t="s">
        <v>483</v>
      </c>
      <c r="C6" s="18" t="s">
        <v>821</v>
      </c>
      <c r="D6" s="32" t="n">
        <v>59.99</v>
      </c>
      <c r="E6" s="16" t="s">
        <v>105</v>
      </c>
      <c r="F6" s="16" t="s">
        <v>538</v>
      </c>
      <c r="G6" s="16" t="n">
        <v>30</v>
      </c>
      <c r="H6" s="16" t="s">
        <v>798</v>
      </c>
      <c r="I6" s="20" t="n">
        <v>7500</v>
      </c>
      <c r="J6" s="18" t="s">
        <v>822</v>
      </c>
      <c r="K6" s="16"/>
      <c r="L6" s="18"/>
      <c r="M6" s="18" t="s">
        <v>823</v>
      </c>
      <c r="N6" s="26" t="s">
        <v>824</v>
      </c>
      <c r="O6" s="26" t="s">
        <v>825</v>
      </c>
      <c r="P6" s="18" t="s">
        <v>826</v>
      </c>
    </row>
    <row r="7" customFormat="false" ht="42" hidden="false" customHeight="true" outlineLevel="0" collapsed="false">
      <c r="A7" s="17" t="s">
        <v>827</v>
      </c>
      <c r="B7" s="16" t="s">
        <v>483</v>
      </c>
      <c r="C7" s="18" t="s">
        <v>828</v>
      </c>
      <c r="D7" s="32" t="n">
        <v>69.99</v>
      </c>
      <c r="E7" s="16" t="s">
        <v>105</v>
      </c>
      <c r="F7" s="16" t="s">
        <v>538</v>
      </c>
      <c r="G7" s="16" t="n">
        <v>30</v>
      </c>
      <c r="H7" s="16" t="s">
        <v>798</v>
      </c>
      <c r="I7" s="20" t="n">
        <v>7500</v>
      </c>
      <c r="J7" s="18" t="s">
        <v>829</v>
      </c>
      <c r="K7" s="16" t="s">
        <v>830</v>
      </c>
      <c r="L7" s="18"/>
      <c r="M7" s="18" t="s">
        <v>831</v>
      </c>
      <c r="N7" s="26" t="s">
        <v>832</v>
      </c>
      <c r="O7" s="26" t="s">
        <v>833</v>
      </c>
      <c r="P7" s="18" t="s">
        <v>834</v>
      </c>
    </row>
    <row r="8" customFormat="false" ht="42" hidden="false" customHeight="true" outlineLevel="0" collapsed="false">
      <c r="A8" s="17" t="s">
        <v>835</v>
      </c>
      <c r="B8" s="16" t="s">
        <v>483</v>
      </c>
      <c r="C8" s="18" t="s">
        <v>836</v>
      </c>
      <c r="D8" s="32" t="n">
        <v>44.4</v>
      </c>
      <c r="E8" s="16" t="s">
        <v>105</v>
      </c>
      <c r="F8" s="16" t="s">
        <v>837</v>
      </c>
      <c r="G8" s="16" t="n">
        <v>30</v>
      </c>
      <c r="H8" s="16" t="s">
        <v>838</v>
      </c>
      <c r="I8" s="20" t="n">
        <v>3750</v>
      </c>
      <c r="J8" s="18" t="s">
        <v>839</v>
      </c>
      <c r="K8" s="16" t="s">
        <v>840</v>
      </c>
      <c r="L8" s="18"/>
      <c r="M8" s="18" t="s">
        <v>841</v>
      </c>
      <c r="N8" s="26" t="s">
        <v>842</v>
      </c>
      <c r="O8" s="26" t="s">
        <v>843</v>
      </c>
      <c r="P8" s="18" t="s">
        <v>844</v>
      </c>
    </row>
    <row r="9" customFormat="false" ht="42" hidden="false" customHeight="true" outlineLevel="0" collapsed="false">
      <c r="A9" s="17" t="s">
        <v>845</v>
      </c>
      <c r="B9" s="16" t="s">
        <v>483</v>
      </c>
      <c r="C9" s="18" t="s">
        <v>846</v>
      </c>
      <c r="D9" s="32" t="n">
        <v>86.6</v>
      </c>
      <c r="E9" s="16" t="s">
        <v>103</v>
      </c>
      <c r="F9" s="16" t="s">
        <v>837</v>
      </c>
      <c r="G9" s="16" t="n">
        <v>30</v>
      </c>
      <c r="H9" s="16" t="s">
        <v>847</v>
      </c>
      <c r="I9" s="20"/>
      <c r="J9" s="18"/>
      <c r="K9" s="16" t="s">
        <v>848</v>
      </c>
      <c r="L9" s="18"/>
      <c r="M9" s="18" t="s">
        <v>849</v>
      </c>
      <c r="N9" s="26" t="s">
        <v>850</v>
      </c>
      <c r="O9" s="26" t="s">
        <v>851</v>
      </c>
      <c r="P9" s="18" t="s">
        <v>852</v>
      </c>
    </row>
    <row r="10" customFormat="false" ht="42" hidden="false" customHeight="true" outlineLevel="0" collapsed="false">
      <c r="A10" s="17" t="s">
        <v>853</v>
      </c>
      <c r="B10" s="16" t="s">
        <v>483</v>
      </c>
      <c r="C10" s="18" t="s">
        <v>854</v>
      </c>
      <c r="D10" s="32" t="n">
        <v>48.99</v>
      </c>
      <c r="E10" s="16" t="s">
        <v>103</v>
      </c>
      <c r="F10" s="16" t="s">
        <v>629</v>
      </c>
      <c r="G10" s="16" t="n">
        <v>20</v>
      </c>
      <c r="H10" s="16" t="s">
        <v>798</v>
      </c>
      <c r="I10" s="20" t="n">
        <v>5000</v>
      </c>
      <c r="J10" s="18" t="s">
        <v>829</v>
      </c>
      <c r="K10" s="16" t="s">
        <v>855</v>
      </c>
      <c r="L10" s="18"/>
      <c r="M10" s="18" t="s">
        <v>856</v>
      </c>
      <c r="N10" s="26" t="s">
        <v>857</v>
      </c>
      <c r="O10" s="26" t="s">
        <v>858</v>
      </c>
      <c r="P10" s="18" t="s">
        <v>859</v>
      </c>
    </row>
    <row r="11" customFormat="false" ht="42" hidden="false" customHeight="true" outlineLevel="0" collapsed="false">
      <c r="A11" s="17" t="s">
        <v>860</v>
      </c>
      <c r="B11" s="16" t="s">
        <v>483</v>
      </c>
      <c r="C11" s="18" t="s">
        <v>861</v>
      </c>
      <c r="D11" s="32" t="n">
        <v>32.1</v>
      </c>
      <c r="E11" s="16" t="s">
        <v>105</v>
      </c>
      <c r="F11" s="16" t="s">
        <v>629</v>
      </c>
      <c r="G11" s="16" t="n">
        <v>20</v>
      </c>
      <c r="H11" s="16" t="s">
        <v>798</v>
      </c>
      <c r="I11" s="20" t="n">
        <v>5000</v>
      </c>
      <c r="J11" s="18" t="s">
        <v>822</v>
      </c>
      <c r="K11" s="16"/>
      <c r="L11" s="18"/>
      <c r="M11" s="18" t="s">
        <v>862</v>
      </c>
      <c r="N11" s="26" t="s">
        <v>863</v>
      </c>
      <c r="O11" s="26" t="s">
        <v>864</v>
      </c>
      <c r="P11" s="18" t="s">
        <v>865</v>
      </c>
    </row>
  </sheetData>
  <autoFilter ref="A1:P11"/>
  <hyperlinks>
    <hyperlink ref="N2" r:id="rId1" display="https://www.duromaxpower.com/products/xp50pbn-50-amp-12-500-watt-non-metallic-power-inlet-box"/>
    <hyperlink ref="O2" r:id="rId2" display="https://cdn.shopify.com/s/files/1/0613/1168/0689/files/XP50PBN_001_2df0e0e5-b144-4699-b03c-db9618aee8ce.png?v=1756395426"/>
    <hyperlink ref="N3" r:id="rId3" display="https://www.duromaxpower.com/products/xp50pb-50-amp-12-500-watt-120-240-volt-metallic-power-inlet-box"/>
    <hyperlink ref="O3" r:id="rId4" display="https://cdn.shopify.com/s/files/1/0613/1168/0689/files/XP50PB_001_1a282f60-34fc-46f4-823d-525527437f1c.png?v=1756395390"/>
    <hyperlink ref="N4" r:id="rId5" display="https://www.duromaxpower.com/products/reliance-pbn50-50-amp-12-500-watt-non-metallic-power-inlet-box"/>
    <hyperlink ref="O4" r:id="rId6" display="https://cdn.shopify.com/s/files/1/0613/1168/0689/files/PBN50_1.jpg?v=1749582622"/>
    <hyperlink ref="N5" r:id="rId7" display="https://www.duromaxpower.com/products/reliance-pb50-50-amp-12-500-watt-120-240-volt-metallic-power-inlet-box"/>
    <hyperlink ref="O5" r:id="rId8" display="https://cdn.shopify.com/s/files/1/0613/1168/0689/files/PB50_1.jpg?v=1749582610"/>
    <hyperlink ref="N6" r:id="rId9" display="https://www.duromaxpower.com/products/reliance-pb30-7-500-watt-120-240-volt-30-amp-non-metallic-power-inlet-box"/>
    <hyperlink ref="O6" r:id="rId10" display="https://cdn.shopify.com/s/files/1/0613/1168/0689/files/PB30_1.jpg?v=1749582613"/>
    <hyperlink ref="N7" r:id="rId11" display="https://www.duromaxpower.com/products/reliance-pbn30-30-amp-nema-non-metallic-power-inlet-box-w-l1430-configuration"/>
    <hyperlink ref="O7" r:id="rId12" display="https://cdn.shopify.com/s/files/1/0613/1168/0689/files/PBN30_1_070795b3-5bf5-4017-a06d-7c5f5c662d06.jpg?v=1749582598"/>
    <hyperlink ref="N8" r:id="rId13" display="https://www.duromaxpower.com/products/reliance-pb31-3-750-watt-120v-pro-tran-generator-nema-3r-outdoor-power-inlet-box"/>
    <hyperlink ref="O8" r:id="rId14" display="https://cdn.shopify.com/s/files/1/0613/1168/0689/files/PB31_1.png?v=1749582621"/>
    <hyperlink ref="N9" r:id="rId15" display="https://www.duromaxpower.com/products/reliance-pbn31-30-amp-pbn-series-power-inlet-box-w-pop-fast-3-4-knockout-design"/>
    <hyperlink ref="O9" r:id="rId16" display="https://cdn.shopify.com/s/files/1/0613/1168/0689/files/PBN31_1.jpg?v=1749582576"/>
    <hyperlink ref="N10" r:id="rId17" display="https://www.duromaxpower.com/products/reliance-pbn20-20-amp-nema-3r-pbn-series-non-metallic-power-inlet-box"/>
    <hyperlink ref="O10" r:id="rId18" display="https://cdn.shopify.com/s/files/1/0613/1168/0689/files/PBN20_1.jpg?v=1749582577"/>
    <hyperlink ref="N11" r:id="rId19" display="https://www.duromaxpower.com/products/reliance-pb20-5-00-watt-120-240-volt-20-amp-non-metallic-power-inlet-box"/>
    <hyperlink ref="O11" r:id="rId20" display="https://cdn.shopify.com/s/files/1/0613/1168/0689/files/PB20_1.jpg?v=1749582617"/>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44"/>
    <col collapsed="false" customWidth="true" hidden="false" outlineLevel="0" max="4" min="4" style="0" width="9"/>
    <col collapsed="false" customWidth="true" hidden="false" outlineLevel="0" max="5" min="5" style="0" width="8"/>
    <col collapsed="false" customWidth="true" hidden="false" outlineLevel="0" max="6" min="6" style="0" width="18"/>
    <col collapsed="false" customWidth="true" hidden="false" outlineLevel="0" max="7" min="7" style="0" width="10"/>
    <col collapsed="false" customWidth="true" hidden="false" outlineLevel="0" max="8" min="8" style="0" width="12"/>
    <col collapsed="false" customWidth="true" hidden="false" outlineLevel="0" max="9" min="9" style="0" width="6"/>
    <col collapsed="false" customWidth="true" hidden="false" outlineLevel="0" max="10" min="10" style="0" width="10"/>
    <col collapsed="false" customWidth="true" hidden="false" outlineLevel="0" max="11" min="11" style="0" width="8"/>
    <col collapsed="false" customWidth="true" hidden="false" outlineLevel="0" max="12" min="12" style="0" width="6"/>
    <col collapsed="false" customWidth="true" hidden="false" outlineLevel="0" max="13" min="13" style="0" width="10"/>
    <col collapsed="false" customWidth="true" hidden="false" outlineLevel="0" max="14" min="14" style="0" width="8"/>
    <col collapsed="false" customWidth="true" hidden="false" outlineLevel="0" max="15" min="15" style="0" width="9"/>
    <col collapsed="false" customWidth="true" hidden="false" outlineLevel="0" max="16" min="16" style="0" width="30"/>
    <col collapsed="false" customWidth="true" hidden="false" outlineLevel="0" max="18" min="17" style="0" width="40"/>
    <col collapsed="false" customWidth="true" hidden="false" outlineLevel="0" max="19" min="19" style="0" width="60"/>
  </cols>
  <sheetData>
    <row r="1" customFormat="false" ht="31.5" hidden="false" customHeight="true" outlineLevel="0" collapsed="false">
      <c r="A1" s="15" t="s">
        <v>463</v>
      </c>
      <c r="B1" s="15" t="s">
        <v>29</v>
      </c>
      <c r="C1" s="15" t="s">
        <v>464</v>
      </c>
      <c r="D1" s="15" t="s">
        <v>465</v>
      </c>
      <c r="E1" s="15" t="s">
        <v>466</v>
      </c>
      <c r="F1" s="15" t="s">
        <v>467</v>
      </c>
      <c r="G1" s="15" t="s">
        <v>866</v>
      </c>
      <c r="H1" s="15" t="s">
        <v>867</v>
      </c>
      <c r="I1" s="15" t="s">
        <v>430</v>
      </c>
      <c r="J1" s="15" t="s">
        <v>80</v>
      </c>
      <c r="K1" s="15" t="s">
        <v>868</v>
      </c>
      <c r="L1" s="15" t="s">
        <v>869</v>
      </c>
      <c r="M1" s="15" t="s">
        <v>870</v>
      </c>
      <c r="N1" s="15" t="s">
        <v>871</v>
      </c>
      <c r="O1" s="15" t="s">
        <v>471</v>
      </c>
      <c r="P1" s="15" t="s">
        <v>872</v>
      </c>
      <c r="Q1" s="15" t="s">
        <v>95</v>
      </c>
      <c r="R1" s="15" t="s">
        <v>96</v>
      </c>
      <c r="S1" s="15" t="s">
        <v>97</v>
      </c>
    </row>
    <row r="2" customFormat="false" ht="36" hidden="false" customHeight="true" outlineLevel="0" collapsed="false">
      <c r="A2" s="17" t="s">
        <v>873</v>
      </c>
      <c r="B2" s="16" t="s">
        <v>98</v>
      </c>
      <c r="C2" s="18" t="s">
        <v>874</v>
      </c>
      <c r="D2" s="32" t="n">
        <v>179.99</v>
      </c>
      <c r="E2" s="16" t="s">
        <v>103</v>
      </c>
      <c r="F2" s="16" t="s">
        <v>875</v>
      </c>
      <c r="G2" s="16" t="s">
        <v>876</v>
      </c>
      <c r="H2" s="16" t="s">
        <v>877</v>
      </c>
      <c r="I2" s="16" t="n">
        <v>50</v>
      </c>
      <c r="J2" s="16" t="s">
        <v>878</v>
      </c>
      <c r="K2" s="16" t="n">
        <v>15</v>
      </c>
      <c r="L2" s="16" t="n">
        <v>6</v>
      </c>
      <c r="M2" s="16"/>
      <c r="N2" s="16" t="s">
        <v>879</v>
      </c>
      <c r="O2" s="20"/>
      <c r="P2" s="18" t="s">
        <v>880</v>
      </c>
      <c r="Q2" s="26" t="s">
        <v>881</v>
      </c>
      <c r="R2" s="26" t="s">
        <v>882</v>
      </c>
      <c r="S2" s="18" t="s">
        <v>883</v>
      </c>
    </row>
    <row r="3" customFormat="false" ht="36" hidden="false" customHeight="true" outlineLevel="0" collapsed="false">
      <c r="A3" s="17" t="s">
        <v>884</v>
      </c>
      <c r="B3" s="16" t="s">
        <v>98</v>
      </c>
      <c r="C3" s="18" t="s">
        <v>885</v>
      </c>
      <c r="D3" s="32" t="n">
        <v>279.99</v>
      </c>
      <c r="E3" s="16" t="s">
        <v>105</v>
      </c>
      <c r="F3" s="16" t="s">
        <v>875</v>
      </c>
      <c r="G3" s="16" t="s">
        <v>876</v>
      </c>
      <c r="H3" s="16" t="s">
        <v>877</v>
      </c>
      <c r="I3" s="16" t="n">
        <v>50</v>
      </c>
      <c r="J3" s="16" t="s">
        <v>878</v>
      </c>
      <c r="K3" s="16" t="n">
        <v>25</v>
      </c>
      <c r="L3" s="16" t="n">
        <v>6</v>
      </c>
      <c r="M3" s="16"/>
      <c r="N3" s="16" t="s">
        <v>879</v>
      </c>
      <c r="O3" s="20"/>
      <c r="P3" s="18" t="s">
        <v>880</v>
      </c>
      <c r="Q3" s="26" t="s">
        <v>886</v>
      </c>
      <c r="R3" s="26" t="s">
        <v>887</v>
      </c>
      <c r="S3" s="18" t="s">
        <v>888</v>
      </c>
    </row>
    <row r="4" customFormat="false" ht="36" hidden="false" customHeight="true" outlineLevel="0" collapsed="false">
      <c r="A4" s="17" t="s">
        <v>889</v>
      </c>
      <c r="B4" s="16" t="s">
        <v>98</v>
      </c>
      <c r="C4" s="18" t="s">
        <v>890</v>
      </c>
      <c r="D4" s="32" t="n">
        <v>449.99</v>
      </c>
      <c r="E4" s="16" t="s">
        <v>105</v>
      </c>
      <c r="F4" s="16" t="s">
        <v>875</v>
      </c>
      <c r="G4" s="16" t="s">
        <v>876</v>
      </c>
      <c r="H4" s="16" t="s">
        <v>877</v>
      </c>
      <c r="I4" s="16" t="n">
        <v>50</v>
      </c>
      <c r="J4" s="16" t="s">
        <v>878</v>
      </c>
      <c r="K4" s="16" t="n">
        <v>50</v>
      </c>
      <c r="L4" s="16" t="n">
        <v>6</v>
      </c>
      <c r="M4" s="16"/>
      <c r="N4" s="16" t="s">
        <v>879</v>
      </c>
      <c r="O4" s="20"/>
      <c r="P4" s="18" t="s">
        <v>880</v>
      </c>
      <c r="Q4" s="26" t="s">
        <v>891</v>
      </c>
      <c r="R4" s="26" t="s">
        <v>892</v>
      </c>
      <c r="S4" s="18" t="s">
        <v>893</v>
      </c>
    </row>
    <row r="5" customFormat="false" ht="36" hidden="false" customHeight="true" outlineLevel="0" collapsed="false">
      <c r="A5" s="17" t="s">
        <v>894</v>
      </c>
      <c r="B5" s="16" t="s">
        <v>98</v>
      </c>
      <c r="C5" s="18" t="s">
        <v>895</v>
      </c>
      <c r="D5" s="32" t="n">
        <v>39.99</v>
      </c>
      <c r="E5" s="16" t="s">
        <v>105</v>
      </c>
      <c r="F5" s="16" t="s">
        <v>875</v>
      </c>
      <c r="G5" s="16" t="s">
        <v>896</v>
      </c>
      <c r="H5" s="16" t="s">
        <v>50</v>
      </c>
      <c r="I5" s="16" t="n">
        <v>30</v>
      </c>
      <c r="J5" s="16" t="s">
        <v>878</v>
      </c>
      <c r="K5" s="16" t="n">
        <v>10</v>
      </c>
      <c r="L5" s="16" t="n">
        <v>10</v>
      </c>
      <c r="M5" s="16"/>
      <c r="N5" s="16" t="s">
        <v>897</v>
      </c>
      <c r="O5" s="20"/>
      <c r="P5" s="18" t="s">
        <v>880</v>
      </c>
      <c r="Q5" s="26" t="s">
        <v>898</v>
      </c>
      <c r="R5" s="26" t="s">
        <v>899</v>
      </c>
      <c r="S5" s="18" t="s">
        <v>900</v>
      </c>
    </row>
    <row r="6" customFormat="false" ht="36" hidden="false" customHeight="true" outlineLevel="0" collapsed="false">
      <c r="A6" s="17" t="s">
        <v>901</v>
      </c>
      <c r="B6" s="16" t="s">
        <v>98</v>
      </c>
      <c r="C6" s="18" t="s">
        <v>902</v>
      </c>
      <c r="D6" s="32" t="n">
        <v>79.99</v>
      </c>
      <c r="E6" s="16" t="s">
        <v>105</v>
      </c>
      <c r="F6" s="16" t="s">
        <v>875</v>
      </c>
      <c r="G6" s="16" t="s">
        <v>896</v>
      </c>
      <c r="H6" s="16" t="s">
        <v>50</v>
      </c>
      <c r="I6" s="16" t="n">
        <v>30</v>
      </c>
      <c r="J6" s="16" t="s">
        <v>878</v>
      </c>
      <c r="K6" s="16" t="n">
        <v>25</v>
      </c>
      <c r="L6" s="16" t="n">
        <v>10</v>
      </c>
      <c r="M6" s="16"/>
      <c r="N6" s="16" t="s">
        <v>897</v>
      </c>
      <c r="O6" s="20"/>
      <c r="P6" s="18" t="s">
        <v>880</v>
      </c>
      <c r="Q6" s="26" t="s">
        <v>903</v>
      </c>
      <c r="R6" s="26" t="s">
        <v>904</v>
      </c>
      <c r="S6" s="18" t="s">
        <v>905</v>
      </c>
    </row>
    <row r="7" customFormat="false" ht="36" hidden="false" customHeight="true" outlineLevel="0" collapsed="false">
      <c r="A7" s="17" t="s">
        <v>906</v>
      </c>
      <c r="B7" s="16" t="s">
        <v>98</v>
      </c>
      <c r="C7" s="18" t="s">
        <v>907</v>
      </c>
      <c r="D7" s="32" t="n">
        <v>149.99</v>
      </c>
      <c r="E7" s="16" t="s">
        <v>105</v>
      </c>
      <c r="F7" s="16" t="s">
        <v>875</v>
      </c>
      <c r="G7" s="16" t="s">
        <v>896</v>
      </c>
      <c r="H7" s="16" t="s">
        <v>50</v>
      </c>
      <c r="I7" s="16" t="n">
        <v>30</v>
      </c>
      <c r="J7" s="16" t="s">
        <v>878</v>
      </c>
      <c r="K7" s="16" t="n">
        <v>50</v>
      </c>
      <c r="L7" s="16" t="n">
        <v>10</v>
      </c>
      <c r="M7" s="16"/>
      <c r="N7" s="16" t="s">
        <v>897</v>
      </c>
      <c r="O7" s="20"/>
      <c r="P7" s="18" t="s">
        <v>880</v>
      </c>
      <c r="Q7" s="26" t="s">
        <v>908</v>
      </c>
      <c r="R7" s="26" t="s">
        <v>909</v>
      </c>
      <c r="S7" s="18" t="s">
        <v>910</v>
      </c>
    </row>
    <row r="8" customFormat="false" ht="36" hidden="false" customHeight="true" outlineLevel="0" collapsed="false">
      <c r="A8" s="17" t="s">
        <v>911</v>
      </c>
      <c r="B8" s="16" t="s">
        <v>98</v>
      </c>
      <c r="C8" s="18" t="s">
        <v>912</v>
      </c>
      <c r="D8" s="32" t="n">
        <v>39.99</v>
      </c>
      <c r="E8" s="16" t="s">
        <v>105</v>
      </c>
      <c r="F8" s="16" t="s">
        <v>913</v>
      </c>
      <c r="G8" s="16" t="s">
        <v>896</v>
      </c>
      <c r="H8" s="16" t="s">
        <v>49</v>
      </c>
      <c r="I8" s="16" t="n">
        <v>30</v>
      </c>
      <c r="J8" s="16" t="s">
        <v>259</v>
      </c>
      <c r="K8" s="16" t="n">
        <v>2</v>
      </c>
      <c r="L8" s="16" t="n">
        <v>10</v>
      </c>
      <c r="M8" s="16"/>
      <c r="N8" s="16"/>
      <c r="O8" s="20"/>
      <c r="P8" s="18" t="s">
        <v>914</v>
      </c>
      <c r="Q8" s="26" t="s">
        <v>915</v>
      </c>
      <c r="R8" s="26" t="s">
        <v>916</v>
      </c>
      <c r="S8" s="18" t="s">
        <v>917</v>
      </c>
    </row>
    <row r="9" customFormat="false" ht="36" hidden="false" customHeight="true" outlineLevel="0" collapsed="false">
      <c r="A9" s="17" t="s">
        <v>918</v>
      </c>
      <c r="B9" s="16" t="s">
        <v>483</v>
      </c>
      <c r="C9" s="18" t="s">
        <v>919</v>
      </c>
      <c r="D9" s="32" t="n">
        <v>12.99</v>
      </c>
      <c r="E9" s="16" t="s">
        <v>103</v>
      </c>
      <c r="F9" s="16" t="s">
        <v>913</v>
      </c>
      <c r="G9" s="16" t="s">
        <v>920</v>
      </c>
      <c r="H9" s="16" t="s">
        <v>921</v>
      </c>
      <c r="I9" s="16" t="n">
        <v>15</v>
      </c>
      <c r="J9" s="16" t="s">
        <v>847</v>
      </c>
      <c r="K9" s="16"/>
      <c r="L9" s="16" t="n">
        <v>12</v>
      </c>
      <c r="M9" s="16"/>
      <c r="N9" s="16"/>
      <c r="O9" s="20" t="n">
        <v>1850</v>
      </c>
      <c r="P9" s="18" t="s">
        <v>922</v>
      </c>
      <c r="Q9" s="26" t="s">
        <v>923</v>
      </c>
      <c r="R9" s="26" t="s">
        <v>924</v>
      </c>
      <c r="S9" s="18" t="s">
        <v>925</v>
      </c>
    </row>
    <row r="10" customFormat="false" ht="36" hidden="false" customHeight="true" outlineLevel="0" collapsed="false">
      <c r="A10" s="17" t="s">
        <v>926</v>
      </c>
      <c r="B10" s="16" t="s">
        <v>483</v>
      </c>
      <c r="C10" s="18" t="s">
        <v>927</v>
      </c>
      <c r="D10" s="32" t="n">
        <v>10.99</v>
      </c>
      <c r="E10" s="16" t="s">
        <v>105</v>
      </c>
      <c r="F10" s="16" t="s">
        <v>913</v>
      </c>
      <c r="G10" s="16" t="s">
        <v>920</v>
      </c>
      <c r="H10" s="16" t="s">
        <v>837</v>
      </c>
      <c r="I10" s="16" t="n">
        <v>15</v>
      </c>
      <c r="J10" s="16" t="s">
        <v>847</v>
      </c>
      <c r="K10" s="16"/>
      <c r="L10" s="16" t="n">
        <v>12</v>
      </c>
      <c r="M10" s="16"/>
      <c r="N10" s="16"/>
      <c r="O10" s="20" t="n">
        <v>1850</v>
      </c>
      <c r="P10" s="18" t="s">
        <v>922</v>
      </c>
      <c r="Q10" s="26" t="s">
        <v>928</v>
      </c>
      <c r="R10" s="26" t="s">
        <v>929</v>
      </c>
      <c r="S10" s="18" t="s">
        <v>925</v>
      </c>
    </row>
    <row r="11" customFormat="false" ht="36" hidden="false" customHeight="true" outlineLevel="0" collapsed="false">
      <c r="A11" s="17" t="s">
        <v>930</v>
      </c>
      <c r="B11" s="16" t="s">
        <v>483</v>
      </c>
      <c r="C11" s="18" t="s">
        <v>931</v>
      </c>
      <c r="D11" s="32" t="n">
        <v>26.99</v>
      </c>
      <c r="E11" s="16" t="s">
        <v>105</v>
      </c>
      <c r="F11" s="16" t="s">
        <v>913</v>
      </c>
      <c r="G11" s="16" t="s">
        <v>538</v>
      </c>
      <c r="H11" s="16" t="s">
        <v>932</v>
      </c>
      <c r="I11" s="16" t="n">
        <v>30</v>
      </c>
      <c r="J11" s="16" t="s">
        <v>847</v>
      </c>
      <c r="K11" s="16"/>
      <c r="L11" s="16" t="n">
        <v>10</v>
      </c>
      <c r="M11" s="16"/>
      <c r="N11" s="16"/>
      <c r="O11" s="20" t="n">
        <v>3750</v>
      </c>
      <c r="P11" s="18" t="s">
        <v>922</v>
      </c>
      <c r="Q11" s="26" t="s">
        <v>933</v>
      </c>
      <c r="R11" s="26" t="s">
        <v>934</v>
      </c>
      <c r="S11" s="18" t="s">
        <v>925</v>
      </c>
    </row>
    <row r="12" customFormat="false" ht="36" hidden="false" customHeight="true" outlineLevel="0" collapsed="false">
      <c r="A12" s="17" t="s">
        <v>935</v>
      </c>
      <c r="B12" s="16" t="s">
        <v>483</v>
      </c>
      <c r="C12" s="18" t="s">
        <v>936</v>
      </c>
      <c r="D12" s="32" t="n">
        <v>26.99</v>
      </c>
      <c r="E12" s="16" t="s">
        <v>105</v>
      </c>
      <c r="F12" s="16" t="s">
        <v>913</v>
      </c>
      <c r="G12" s="16" t="s">
        <v>837</v>
      </c>
      <c r="H12" s="16" t="s">
        <v>538</v>
      </c>
      <c r="I12" s="16" t="n">
        <v>30</v>
      </c>
      <c r="J12" s="16" t="s">
        <v>847</v>
      </c>
      <c r="K12" s="16"/>
      <c r="L12" s="16"/>
      <c r="M12" s="16"/>
      <c r="N12" s="16"/>
      <c r="O12" s="20"/>
      <c r="P12" s="18"/>
      <c r="Q12" s="26" t="s">
        <v>937</v>
      </c>
      <c r="R12" s="26" t="s">
        <v>938</v>
      </c>
      <c r="S12" s="18" t="s">
        <v>939</v>
      </c>
    </row>
    <row r="13" customFormat="false" ht="36" hidden="false" customHeight="true" outlineLevel="0" collapsed="false">
      <c r="A13" s="17" t="s">
        <v>940</v>
      </c>
      <c r="B13" s="16" t="s">
        <v>483</v>
      </c>
      <c r="C13" s="18" t="s">
        <v>941</v>
      </c>
      <c r="D13" s="32" t="n">
        <v>27.99</v>
      </c>
      <c r="E13" s="16" t="s">
        <v>103</v>
      </c>
      <c r="F13" s="16" t="s">
        <v>913</v>
      </c>
      <c r="G13" s="16" t="s">
        <v>942</v>
      </c>
      <c r="H13" s="16" t="s">
        <v>932</v>
      </c>
      <c r="I13" s="16" t="n">
        <v>30</v>
      </c>
      <c r="J13" s="16" t="s">
        <v>847</v>
      </c>
      <c r="K13" s="16"/>
      <c r="L13" s="16" t="n">
        <v>10</v>
      </c>
      <c r="M13" s="16"/>
      <c r="N13" s="16"/>
      <c r="O13" s="20" t="n">
        <v>3750</v>
      </c>
      <c r="P13" s="18" t="s">
        <v>922</v>
      </c>
      <c r="Q13" s="26" t="s">
        <v>943</v>
      </c>
      <c r="R13" s="26" t="s">
        <v>944</v>
      </c>
      <c r="S13" s="18" t="s">
        <v>925</v>
      </c>
    </row>
    <row r="14" customFormat="false" ht="36" hidden="false" customHeight="true" outlineLevel="0" collapsed="false">
      <c r="A14" s="17" t="s">
        <v>945</v>
      </c>
      <c r="B14" s="16" t="s">
        <v>483</v>
      </c>
      <c r="C14" s="18" t="s">
        <v>946</v>
      </c>
      <c r="D14" s="32" t="n">
        <v>23.99</v>
      </c>
      <c r="E14" s="16" t="s">
        <v>103</v>
      </c>
      <c r="F14" s="16" t="s">
        <v>913</v>
      </c>
      <c r="G14" s="16" t="s">
        <v>837</v>
      </c>
      <c r="H14" s="16" t="s">
        <v>538</v>
      </c>
      <c r="I14" s="16" t="n">
        <v>30</v>
      </c>
      <c r="J14" s="16" t="s">
        <v>847</v>
      </c>
      <c r="K14" s="16"/>
      <c r="L14" s="16" t="n">
        <v>10</v>
      </c>
      <c r="M14" s="16"/>
      <c r="N14" s="16"/>
      <c r="O14" s="20" t="n">
        <v>3750</v>
      </c>
      <c r="P14" s="18"/>
      <c r="Q14" s="26" t="s">
        <v>947</v>
      </c>
      <c r="R14" s="26" t="s">
        <v>948</v>
      </c>
      <c r="S14" s="18" t="s">
        <v>949</v>
      </c>
    </row>
    <row r="15" customFormat="false" ht="36" hidden="false" customHeight="true" outlineLevel="0" collapsed="false">
      <c r="A15" s="17" t="s">
        <v>950</v>
      </c>
      <c r="B15" s="16" t="s">
        <v>483</v>
      </c>
      <c r="C15" s="18" t="s">
        <v>951</v>
      </c>
      <c r="D15" s="32" t="n">
        <v>21.99</v>
      </c>
      <c r="E15" s="16" t="s">
        <v>103</v>
      </c>
      <c r="F15" s="16" t="s">
        <v>913</v>
      </c>
      <c r="G15" s="16" t="s">
        <v>932</v>
      </c>
      <c r="H15" s="16" t="s">
        <v>921</v>
      </c>
      <c r="I15" s="16" t="n">
        <v>20</v>
      </c>
      <c r="J15" s="16" t="s">
        <v>847</v>
      </c>
      <c r="K15" s="16"/>
      <c r="L15" s="16" t="n">
        <v>12</v>
      </c>
      <c r="M15" s="16"/>
      <c r="N15" s="16"/>
      <c r="O15" s="20" t="n">
        <v>2500</v>
      </c>
      <c r="P15" s="18" t="s">
        <v>922</v>
      </c>
      <c r="Q15" s="26" t="s">
        <v>952</v>
      </c>
      <c r="R15" s="26" t="s">
        <v>953</v>
      </c>
      <c r="S15" s="18" t="s">
        <v>925</v>
      </c>
    </row>
    <row r="16" customFormat="false" ht="36" hidden="false" customHeight="true" outlineLevel="0" collapsed="false">
      <c r="A16" s="17" t="s">
        <v>954</v>
      </c>
      <c r="B16" s="16" t="s">
        <v>483</v>
      </c>
      <c r="C16" s="18" t="s">
        <v>955</v>
      </c>
      <c r="D16" s="32" t="n">
        <v>26.99</v>
      </c>
      <c r="E16" s="16" t="s">
        <v>103</v>
      </c>
      <c r="F16" s="16" t="s">
        <v>913</v>
      </c>
      <c r="G16" s="16" t="s">
        <v>932</v>
      </c>
      <c r="H16" s="16" t="s">
        <v>942</v>
      </c>
      <c r="I16" s="16" t="n">
        <v>30</v>
      </c>
      <c r="J16" s="16" t="s">
        <v>847</v>
      </c>
      <c r="K16" s="16"/>
      <c r="L16" s="16" t="n">
        <v>10</v>
      </c>
      <c r="M16" s="16"/>
      <c r="N16" s="16"/>
      <c r="O16" s="20" t="n">
        <v>3750</v>
      </c>
      <c r="P16" s="18" t="s">
        <v>922</v>
      </c>
      <c r="Q16" s="26" t="s">
        <v>956</v>
      </c>
      <c r="R16" s="26" t="s">
        <v>957</v>
      </c>
      <c r="S16" s="18" t="s">
        <v>925</v>
      </c>
    </row>
    <row r="17" customFormat="false" ht="36" hidden="false" customHeight="true" outlineLevel="0" collapsed="false">
      <c r="A17" s="17" t="s">
        <v>958</v>
      </c>
      <c r="B17" s="16" t="s">
        <v>483</v>
      </c>
      <c r="C17" s="18" t="s">
        <v>959</v>
      </c>
      <c r="D17" s="32" t="n">
        <v>11.99</v>
      </c>
      <c r="E17" s="16" t="s">
        <v>103</v>
      </c>
      <c r="F17" s="16" t="s">
        <v>913</v>
      </c>
      <c r="G17" s="16" t="s">
        <v>920</v>
      </c>
      <c r="H17" s="16" t="s">
        <v>932</v>
      </c>
      <c r="I17" s="16" t="n">
        <v>15</v>
      </c>
      <c r="J17" s="16" t="s">
        <v>847</v>
      </c>
      <c r="K17" s="16"/>
      <c r="L17" s="16" t="n">
        <v>12</v>
      </c>
      <c r="M17" s="16"/>
      <c r="N17" s="16"/>
      <c r="O17" s="20" t="n">
        <v>1850</v>
      </c>
      <c r="P17" s="18" t="s">
        <v>922</v>
      </c>
      <c r="Q17" s="26" t="s">
        <v>960</v>
      </c>
      <c r="R17" s="26" t="s">
        <v>961</v>
      </c>
      <c r="S17" s="18" t="s">
        <v>925</v>
      </c>
    </row>
    <row r="18" customFormat="false" ht="36" hidden="false" customHeight="true" outlineLevel="0" collapsed="false">
      <c r="A18" s="17" t="s">
        <v>962</v>
      </c>
      <c r="B18" s="16" t="s">
        <v>483</v>
      </c>
      <c r="C18" s="18" t="s">
        <v>963</v>
      </c>
      <c r="D18" s="32" t="n">
        <v>12.99</v>
      </c>
      <c r="E18" s="16" t="s">
        <v>103</v>
      </c>
      <c r="F18" s="16" t="s">
        <v>913</v>
      </c>
      <c r="G18" s="16" t="s">
        <v>837</v>
      </c>
      <c r="H18" s="16" t="s">
        <v>932</v>
      </c>
      <c r="I18" s="16" t="n">
        <v>30</v>
      </c>
      <c r="J18" s="16" t="s">
        <v>847</v>
      </c>
      <c r="K18" s="16"/>
      <c r="L18" s="16" t="n">
        <v>10</v>
      </c>
      <c r="M18" s="16"/>
      <c r="N18" s="16"/>
      <c r="O18" s="20" t="n">
        <v>3750</v>
      </c>
      <c r="P18" s="18" t="s">
        <v>922</v>
      </c>
      <c r="Q18" s="26" t="s">
        <v>964</v>
      </c>
      <c r="R18" s="26" t="s">
        <v>965</v>
      </c>
      <c r="S18" s="18" t="s">
        <v>966</v>
      </c>
    </row>
    <row r="19" customFormat="false" ht="36" hidden="false" customHeight="true" outlineLevel="0" collapsed="false">
      <c r="A19" s="17" t="s">
        <v>967</v>
      </c>
      <c r="B19" s="16" t="s">
        <v>483</v>
      </c>
      <c r="C19" s="18" t="s">
        <v>968</v>
      </c>
      <c r="D19" s="32" t="n">
        <v>11.9</v>
      </c>
      <c r="E19" s="16" t="s">
        <v>105</v>
      </c>
      <c r="F19" s="16" t="s">
        <v>969</v>
      </c>
      <c r="G19" s="16" t="s">
        <v>970</v>
      </c>
      <c r="H19" s="16"/>
      <c r="I19" s="16" t="n">
        <v>20</v>
      </c>
      <c r="J19" s="16" t="s">
        <v>971</v>
      </c>
      <c r="K19" s="16"/>
      <c r="L19" s="16"/>
      <c r="M19" s="16"/>
      <c r="N19" s="16"/>
      <c r="O19" s="20" t="n">
        <v>5000</v>
      </c>
      <c r="P19" s="18" t="s">
        <v>972</v>
      </c>
      <c r="Q19" s="26" t="s">
        <v>973</v>
      </c>
      <c r="R19" s="26" t="s">
        <v>974</v>
      </c>
      <c r="S19" s="18" t="s">
        <v>975</v>
      </c>
    </row>
    <row r="20" customFormat="false" ht="36" hidden="false" customHeight="true" outlineLevel="0" collapsed="false">
      <c r="A20" s="17" t="s">
        <v>976</v>
      </c>
      <c r="B20" s="16" t="s">
        <v>483</v>
      </c>
      <c r="C20" s="18" t="s">
        <v>977</v>
      </c>
      <c r="D20" s="32" t="n">
        <v>13.4</v>
      </c>
      <c r="E20" s="16" t="s">
        <v>105</v>
      </c>
      <c r="F20" s="16" t="s">
        <v>969</v>
      </c>
      <c r="G20" s="16" t="s">
        <v>896</v>
      </c>
      <c r="H20" s="16"/>
      <c r="I20" s="16" t="n">
        <v>30</v>
      </c>
      <c r="J20" s="16" t="s">
        <v>971</v>
      </c>
      <c r="K20" s="16"/>
      <c r="L20" s="16"/>
      <c r="M20" s="16"/>
      <c r="N20" s="16"/>
      <c r="O20" s="20" t="n">
        <v>7500</v>
      </c>
      <c r="P20" s="18" t="s">
        <v>972</v>
      </c>
      <c r="Q20" s="26" t="s">
        <v>978</v>
      </c>
      <c r="R20" s="26" t="s">
        <v>979</v>
      </c>
      <c r="S20" s="18" t="s">
        <v>980</v>
      </c>
    </row>
    <row r="21" customFormat="false" ht="36" hidden="false" customHeight="true" outlineLevel="0" collapsed="false">
      <c r="A21" s="17" t="s">
        <v>981</v>
      </c>
      <c r="B21" s="16" t="s">
        <v>483</v>
      </c>
      <c r="C21" s="18" t="s">
        <v>982</v>
      </c>
      <c r="D21" s="32" t="n">
        <v>47.3</v>
      </c>
      <c r="E21" s="16" t="s">
        <v>103</v>
      </c>
      <c r="F21" s="16" t="s">
        <v>983</v>
      </c>
      <c r="G21" s="16"/>
      <c r="H21" s="16" t="s">
        <v>538</v>
      </c>
      <c r="I21" s="16" t="n">
        <v>30</v>
      </c>
      <c r="J21" s="16" t="s">
        <v>971</v>
      </c>
      <c r="K21" s="16"/>
      <c r="L21" s="16"/>
      <c r="M21" s="16"/>
      <c r="N21" s="16"/>
      <c r="O21" s="20" t="n">
        <v>7500</v>
      </c>
      <c r="P21" s="18" t="s">
        <v>984</v>
      </c>
      <c r="Q21" s="26" t="s">
        <v>985</v>
      </c>
      <c r="R21" s="26" t="s">
        <v>986</v>
      </c>
      <c r="S21" s="18" t="s">
        <v>987</v>
      </c>
    </row>
    <row r="22" customFormat="false" ht="36" hidden="false" customHeight="true" outlineLevel="0" collapsed="false">
      <c r="A22" s="17" t="s">
        <v>988</v>
      </c>
      <c r="B22" s="16" t="s">
        <v>483</v>
      </c>
      <c r="C22" s="18" t="s">
        <v>989</v>
      </c>
      <c r="D22" s="32" t="n">
        <v>25.8</v>
      </c>
      <c r="E22" s="16" t="s">
        <v>105</v>
      </c>
      <c r="F22" s="16" t="s">
        <v>969</v>
      </c>
      <c r="G22" s="16" t="s">
        <v>876</v>
      </c>
      <c r="H22" s="16"/>
      <c r="I22" s="16" t="n">
        <v>50</v>
      </c>
      <c r="J22" s="16" t="s">
        <v>971</v>
      </c>
      <c r="K22" s="16"/>
      <c r="L22" s="16"/>
      <c r="M22" s="16"/>
      <c r="N22" s="16"/>
      <c r="O22" s="20" t="n">
        <v>12000</v>
      </c>
      <c r="P22" s="18" t="s">
        <v>972</v>
      </c>
      <c r="Q22" s="26" t="s">
        <v>990</v>
      </c>
      <c r="R22" s="26" t="s">
        <v>991</v>
      </c>
      <c r="S22" s="18" t="s">
        <v>992</v>
      </c>
    </row>
    <row r="23" customFormat="false" ht="36" hidden="false" customHeight="true" outlineLevel="0" collapsed="false">
      <c r="A23" s="17" t="s">
        <v>993</v>
      </c>
      <c r="B23" s="16" t="s">
        <v>483</v>
      </c>
      <c r="C23" s="18" t="s">
        <v>994</v>
      </c>
      <c r="D23" s="32" t="n">
        <v>58.6</v>
      </c>
      <c r="E23" s="16" t="s">
        <v>105</v>
      </c>
      <c r="F23" s="16" t="s">
        <v>983</v>
      </c>
      <c r="G23" s="16"/>
      <c r="H23" s="16" t="s">
        <v>877</v>
      </c>
      <c r="I23" s="16" t="n">
        <v>50</v>
      </c>
      <c r="J23" s="16" t="s">
        <v>971</v>
      </c>
      <c r="K23" s="16"/>
      <c r="L23" s="16"/>
      <c r="M23" s="16"/>
      <c r="N23" s="16"/>
      <c r="O23" s="20" t="n">
        <v>12000</v>
      </c>
      <c r="P23" s="18" t="s">
        <v>984</v>
      </c>
      <c r="Q23" s="26" t="s">
        <v>995</v>
      </c>
      <c r="R23" s="26" t="s">
        <v>996</v>
      </c>
      <c r="S23" s="18" t="s">
        <v>997</v>
      </c>
    </row>
    <row r="24" customFormat="false" ht="36" hidden="false" customHeight="true" outlineLevel="0" collapsed="false">
      <c r="A24" s="17" t="s">
        <v>998</v>
      </c>
      <c r="B24" s="16" t="s">
        <v>483</v>
      </c>
      <c r="C24" s="18" t="s">
        <v>999</v>
      </c>
      <c r="D24" s="32" t="n">
        <v>94.99</v>
      </c>
      <c r="E24" s="16" t="s">
        <v>105</v>
      </c>
      <c r="F24" s="16" t="s">
        <v>1000</v>
      </c>
      <c r="G24" s="16"/>
      <c r="H24" s="16"/>
      <c r="I24" s="16" t="n">
        <v>30</v>
      </c>
      <c r="J24" s="16" t="s">
        <v>971</v>
      </c>
      <c r="K24" s="16" t="n">
        <v>20</v>
      </c>
      <c r="L24" s="16"/>
      <c r="M24" s="16"/>
      <c r="N24" s="16"/>
      <c r="O24" s="20" t="n">
        <v>7500</v>
      </c>
      <c r="P24" s="18"/>
      <c r="Q24" s="26" t="s">
        <v>1001</v>
      </c>
      <c r="R24" s="26" t="s">
        <v>1002</v>
      </c>
      <c r="S24" s="18" t="s">
        <v>1003</v>
      </c>
    </row>
    <row r="25" customFormat="false" ht="36" hidden="false" customHeight="true" outlineLevel="0" collapsed="false">
      <c r="A25" s="17" t="s">
        <v>1004</v>
      </c>
      <c r="B25" s="16" t="s">
        <v>483</v>
      </c>
      <c r="C25" s="18" t="s">
        <v>1005</v>
      </c>
      <c r="D25" s="32" t="n">
        <v>119.99</v>
      </c>
      <c r="E25" s="16" t="s">
        <v>105</v>
      </c>
      <c r="F25" s="16" t="s">
        <v>875</v>
      </c>
      <c r="G25" s="16" t="s">
        <v>896</v>
      </c>
      <c r="H25" s="16" t="s">
        <v>50</v>
      </c>
      <c r="I25" s="16" t="n">
        <v>30</v>
      </c>
      <c r="J25" s="16" t="s">
        <v>1006</v>
      </c>
      <c r="K25" s="16" t="n">
        <v>40</v>
      </c>
      <c r="L25" s="16"/>
      <c r="M25" s="16"/>
      <c r="N25" s="16"/>
      <c r="O25" s="20" t="n">
        <v>7500</v>
      </c>
      <c r="P25" s="18"/>
      <c r="Q25" s="26" t="s">
        <v>1007</v>
      </c>
      <c r="R25" s="26" t="s">
        <v>1008</v>
      </c>
      <c r="S25" s="18" t="s">
        <v>1009</v>
      </c>
    </row>
    <row r="26" customFormat="false" ht="36" hidden="false" customHeight="true" outlineLevel="0" collapsed="false">
      <c r="A26" s="17" t="s">
        <v>1010</v>
      </c>
      <c r="B26" s="16" t="s">
        <v>483</v>
      </c>
      <c r="C26" s="18" t="s">
        <v>1011</v>
      </c>
      <c r="D26" s="32" t="n">
        <v>299</v>
      </c>
      <c r="E26" s="16" t="s">
        <v>103</v>
      </c>
      <c r="F26" s="16" t="s">
        <v>875</v>
      </c>
      <c r="G26" s="16"/>
      <c r="H26" s="16"/>
      <c r="I26" s="16" t="n">
        <v>30</v>
      </c>
      <c r="J26" s="16" t="s">
        <v>971</v>
      </c>
      <c r="K26" s="16" t="n">
        <v>50</v>
      </c>
      <c r="L26" s="16"/>
      <c r="M26" s="16" t="s">
        <v>1012</v>
      </c>
      <c r="N26" s="16"/>
      <c r="O26" s="20" t="n">
        <v>7500</v>
      </c>
      <c r="P26" s="18"/>
      <c r="Q26" s="26" t="s">
        <v>1013</v>
      </c>
      <c r="R26" s="26" t="s">
        <v>1014</v>
      </c>
      <c r="S26" s="18" t="s">
        <v>1015</v>
      </c>
    </row>
    <row r="27" customFormat="false" ht="36" hidden="false" customHeight="true" outlineLevel="0" collapsed="false">
      <c r="A27" s="17" t="s">
        <v>1016</v>
      </c>
      <c r="B27" s="16" t="s">
        <v>483</v>
      </c>
      <c r="C27" s="18" t="s">
        <v>1017</v>
      </c>
      <c r="D27" s="32" t="n">
        <v>51.6</v>
      </c>
      <c r="E27" s="16" t="s">
        <v>103</v>
      </c>
      <c r="F27" s="16" t="s">
        <v>875</v>
      </c>
      <c r="G27" s="16" t="s">
        <v>1018</v>
      </c>
      <c r="H27" s="16" t="s">
        <v>48</v>
      </c>
      <c r="I27" s="16" t="n">
        <v>20</v>
      </c>
      <c r="J27" s="16" t="s">
        <v>1019</v>
      </c>
      <c r="K27" s="16" t="n">
        <v>10</v>
      </c>
      <c r="L27" s="16"/>
      <c r="M27" s="16" t="s">
        <v>1020</v>
      </c>
      <c r="N27" s="16"/>
      <c r="O27" s="20" t="n">
        <v>4000</v>
      </c>
      <c r="P27" s="18"/>
      <c r="Q27" s="26" t="s">
        <v>1021</v>
      </c>
      <c r="R27" s="26" t="s">
        <v>1022</v>
      </c>
      <c r="S27" s="18" t="s">
        <v>1023</v>
      </c>
    </row>
    <row r="28" customFormat="false" ht="36" hidden="false" customHeight="true" outlineLevel="0" collapsed="false">
      <c r="A28" s="17" t="s">
        <v>1024</v>
      </c>
      <c r="B28" s="16" t="s">
        <v>483</v>
      </c>
      <c r="C28" s="18" t="s">
        <v>1025</v>
      </c>
      <c r="D28" s="32" t="n">
        <v>110.3</v>
      </c>
      <c r="E28" s="16" t="s">
        <v>103</v>
      </c>
      <c r="F28" s="16" t="s">
        <v>875</v>
      </c>
      <c r="G28" s="16" t="s">
        <v>1018</v>
      </c>
      <c r="H28" s="16" t="s">
        <v>48</v>
      </c>
      <c r="I28" s="16" t="n">
        <v>20</v>
      </c>
      <c r="J28" s="16" t="s">
        <v>1019</v>
      </c>
      <c r="K28" s="16" t="n">
        <v>20</v>
      </c>
      <c r="L28" s="16"/>
      <c r="M28" s="16"/>
      <c r="N28" s="16"/>
      <c r="O28" s="20" t="n">
        <v>4000</v>
      </c>
      <c r="P28" s="18"/>
      <c r="Q28" s="26" t="s">
        <v>1026</v>
      </c>
      <c r="R28" s="26" t="s">
        <v>1027</v>
      </c>
      <c r="S28" s="18" t="s">
        <v>1028</v>
      </c>
    </row>
    <row r="29" customFormat="false" ht="36" hidden="false" customHeight="true" outlineLevel="0" collapsed="false">
      <c r="A29" s="17" t="s">
        <v>1029</v>
      </c>
      <c r="B29" s="16" t="s">
        <v>483</v>
      </c>
      <c r="C29" s="18" t="s">
        <v>1030</v>
      </c>
      <c r="D29" s="32" t="n">
        <v>309.99</v>
      </c>
      <c r="E29" s="16" t="s">
        <v>103</v>
      </c>
      <c r="F29" s="16" t="s">
        <v>875</v>
      </c>
      <c r="G29" s="16" t="s">
        <v>1031</v>
      </c>
      <c r="H29" s="16" t="s">
        <v>877</v>
      </c>
      <c r="I29" s="16" t="n">
        <v>50</v>
      </c>
      <c r="J29" s="16" t="s">
        <v>971</v>
      </c>
      <c r="K29" s="16" t="n">
        <v>20</v>
      </c>
      <c r="L29" s="16" t="n">
        <v>6</v>
      </c>
      <c r="M29" s="16" t="s">
        <v>1032</v>
      </c>
      <c r="N29" s="16"/>
      <c r="O29" s="20" t="n">
        <v>12000</v>
      </c>
      <c r="P29" s="18"/>
      <c r="Q29" s="26" t="s">
        <v>1033</v>
      </c>
      <c r="R29" s="26" t="s">
        <v>1034</v>
      </c>
      <c r="S29" s="18" t="s">
        <v>1035</v>
      </c>
    </row>
    <row r="30" customFormat="false" ht="36" hidden="false" customHeight="true" outlineLevel="0" collapsed="false">
      <c r="A30" s="17" t="s">
        <v>1036</v>
      </c>
      <c r="B30" s="16" t="s">
        <v>483</v>
      </c>
      <c r="C30" s="18" t="s">
        <v>1037</v>
      </c>
      <c r="D30" s="32" t="n">
        <v>299</v>
      </c>
      <c r="E30" s="16" t="s">
        <v>105</v>
      </c>
      <c r="F30" s="16" t="s">
        <v>875</v>
      </c>
      <c r="G30" s="16" t="s">
        <v>1031</v>
      </c>
      <c r="H30" s="16" t="s">
        <v>877</v>
      </c>
      <c r="I30" s="16" t="n">
        <v>50</v>
      </c>
      <c r="J30" s="16" t="s">
        <v>971</v>
      </c>
      <c r="K30" s="16" t="n">
        <v>25</v>
      </c>
      <c r="L30" s="16" t="n">
        <v>6</v>
      </c>
      <c r="M30" s="16" t="s">
        <v>1032</v>
      </c>
      <c r="N30" s="16"/>
      <c r="O30" s="20" t="n">
        <v>12000</v>
      </c>
      <c r="P30" s="18"/>
      <c r="Q30" s="26" t="s">
        <v>1038</v>
      </c>
      <c r="R30" s="26" t="s">
        <v>1039</v>
      </c>
      <c r="S30" s="18" t="s">
        <v>1040</v>
      </c>
    </row>
  </sheetData>
  <autoFilter ref="A1:S30"/>
  <hyperlinks>
    <hyperlink ref="Q2" r:id="rId1" display="https://www.duromaxpower.com/products/duromax-xp5050gc-15-foot-6-gauge-50-amp-generator-power-cord"/>
    <hyperlink ref="R2" r:id="rId2" display="https://cdn.shopify.com/s/files/1/0613/1168/0689/products/XP5015GC001HERO_61edccfe-e76b-4232-a425-88a91b172321.png?v=1749582783"/>
    <hyperlink ref="Q3" r:id="rId3" display="https://www.duromaxpower.com/products/duromax-xp5025gc-25-foot-6-gauge-50-amp-generator-power-cord"/>
    <hyperlink ref="R3" r:id="rId4" display="https://cdn.shopify.com/s/files/1/0613/1168/0689/products/XP5025GC001HERO_2af7ba1d-5e89-4bcd-947d-f293dcbe23b9.png?v=1749582785"/>
    <hyperlink ref="Q4" r:id="rId5" display="https://www.duromaxpower.com/products/duromax-xp5050gc-50-foot-6-gauge-50-amp-generator-power-cord"/>
    <hyperlink ref="R4" r:id="rId6" display="https://cdn.shopify.com/s/files/1/0613/1168/0689/products/XP5050GC001HERO_84e520e4-e76f-46e7-bb76-410e8b9d90e2.png?v=1749582781"/>
    <hyperlink ref="Q5" r:id="rId7" display="https://www.duromaxpower.com/products/duromax-xp3010gc-30-amp-10-foot-10-gauge-l14-30-heavy-duty-generator-power-cord-home-power-backup-black"/>
    <hyperlink ref="R5" r:id="rId8" display="https://cdn.shopify.com/s/files/1/0613/1168/0689/products/XP3010GC001HERO_a316916a-23d2-46fa-b4a6-01a0e5f8df21.png?v=1749582818"/>
    <hyperlink ref="Q6" r:id="rId9" display="https://www.duromaxpower.com/products/duromax-xp3025gc-25-foot-10-gauge-30-amp-generator-power-cord"/>
    <hyperlink ref="R6" r:id="rId10" display="https://cdn.shopify.com/s/files/1/0613/1168/0689/products/XP3025GC001HERO_f3e2451c-7cbb-4584-bf50-5369e18866f8.png?v=1749582817"/>
    <hyperlink ref="Q7" r:id="rId11" display="https://www.duromaxpower.com/products/duromax-xp3050gc-50-foot-10-gauge-30-amp-generator-power-cord"/>
    <hyperlink ref="R7" r:id="rId12" display="https://cdn.shopify.com/s/files/1/0613/1168/0689/products/XP3050GC001HERO_14b396fc-c309-4341-b4dd-2c8602a8abb1.png?v=1749582815"/>
    <hyperlink ref="Q8" r:id="rId13" display="https://www.duromaxpower.com/products/duromax-xp3030rv-42646-30-to-30-amp-rv-adapter-for-all-standard-30a-rvs"/>
    <hyperlink ref="R8" r:id="rId14" display="https://cdn.shopify.com/s/files/1/0613/1168/0689/products/XP3030RV__1.jpg?v=1749582816"/>
    <hyperlink ref="Q9" r:id="rId15" display="https://www.duromaxpower.com/products/reliance-ac1522-15a-125v-color-connect-adapter-cord-5-15-plug-l5-20-connector"/>
    <hyperlink ref="R9" r:id="rId16" display="https://cdn.shopify.com/s/files/1/0613/1168/0689/files/AC1522_1.jpg?v=1749582573"/>
    <hyperlink ref="Q10" r:id="rId17" display="https://www.duromaxpower.com/products/reliance-ac1531-15a-125v-color-connect-adapter-cord-5-15-plug-l5-30-connector"/>
    <hyperlink ref="R10" r:id="rId18" display="https://cdn.shopify.com/s/files/1/0613/1168/0689/files/AC1531_1.jpg?v=1749582572"/>
    <hyperlink ref="Q11" r:id="rId19" display="https://www.duromaxpower.com/products/reliance-ac30rv-30a-125v-color-connect-adapter-cord-l14-30-plug-tt30-connector"/>
    <hyperlink ref="R11" r:id="rId20" display="https://cdn.shopify.com/s/files/1/0613/1168/0689/files/AC30RV_1.jpg?v=1749582572"/>
    <hyperlink ref="Q12" r:id="rId21" display="https://www.duromaxpower.com/products/reliance-ac3130-30a-125v-color-connect-adapter-cord-l5-30-plug-l14-30-connector-1"/>
    <hyperlink ref="R12" r:id="rId22" display="https://cdn.shopify.com/s/files/1/0613/1168/0689/files/AC3130CC_1.jpg?v=1749582396"/>
    <hyperlink ref="Q13" r:id="rId23" display="https://www.duromaxpower.com/products/reliance-ac52rv-30a-125v-color-connect-adapter-cord-14-50-plug-tt-30-connector"/>
    <hyperlink ref="R13" r:id="rId24" display="https://cdn.shopify.com/s/files/1/0613/1168/0689/files/AC52RV_1.jpg?v=1749582571"/>
    <hyperlink ref="Q14" r:id="rId25" display="https://www.duromaxpower.com/products/reliance-ac3130-30a-125v-color-connect-adapter-cord-l5-30-plug-l14-30-connector"/>
    <hyperlink ref="R14" r:id="rId26" display="https://cdn.shopify.com/s/files/1/0613/1168/0689/files/AC3130_1.jpg?v=1749582571"/>
    <hyperlink ref="Q15" r:id="rId27" display="https://www.duromaxpower.com/products/reliance-acrv22-20a-125v-color-connect-adapter-cord-tt-30-plug-l5-20-connector"/>
    <hyperlink ref="R15" r:id="rId28" display="https://cdn.shopify.com/s/files/1/0613/1168/0689/files/ACRV22_1.jpg?v=1749582570"/>
    <hyperlink ref="Q16" r:id="rId29" display="https://www.duromaxpower.com/products/reliance-acrv52-30a-125v-color-connect-adapter-cord-tt-30-plug-14-50-connector"/>
    <hyperlink ref="R16" r:id="rId30" display="https://cdn.shopify.com/s/files/1/0613/1168/0689/files/ACRV52_1.jpg?v=1749582569"/>
    <hyperlink ref="Q17" r:id="rId31" display="https://www.duromaxpower.com/products/reliance-ap15rv-15a-125v-color-connect-adapter-cord-5-15-plug-tt-30-connector"/>
    <hyperlink ref="R17" r:id="rId32" display="https://cdn.shopify.com/s/files/1/0613/1168/0689/files/AP15RV_1.jpg?v=1749582569"/>
    <hyperlink ref="Q18" r:id="rId33" display="https://www.duromaxpower.com/products/reliance-ap31rv-30a-125v-color-connect-adapter-cord-l5-30-plug-tt-30-connector"/>
    <hyperlink ref="R18" r:id="rId34" display="https://cdn.shopify.com/s/files/1/0613/1168/0689/files/AP31RV_1.jpg?v=1749582568"/>
    <hyperlink ref="Q19" r:id="rId35" display="https://www.duromaxpower.com/products/reliance-l1420p-20-amp-generator-power-cord-plug-for-up-to-5000-watt-generators"/>
    <hyperlink ref="R19" r:id="rId36" display="https://cdn.shopify.com/s/files/1/0613/1168/0689/files/L1420P__1.jpg?v=1749582618"/>
    <hyperlink ref="Q20" r:id="rId37" display="https://www.duromaxpower.com/products/reliance-l1430p-30-amp-generator-power-cord-plug-for-up-to-7500-watt-generators"/>
    <hyperlink ref="R20" r:id="rId38" display="https://cdn.shopify.com/s/files/1/0613/1168/0689/files/L1430P__1.jpg?v=1749582614"/>
    <hyperlink ref="Q21" r:id="rId39" display="https://www.duromaxpower.com/products/reliance-l1430c-30-amp-generator-power-cord-connector-for-up-to-7500w-generators"/>
    <hyperlink ref="R21" r:id="rId40" display="https://cdn.shopify.com/s/files/1/0613/1168/0689/files/L1430C__1.jpg?v=1749582616"/>
    <hyperlink ref="Q22" r:id="rId41" display="https://www.duromaxpower.com/products/reliance-1450p-50-amp-generator-power-cord-connector-up-to-12000-watt"/>
    <hyperlink ref="R22" r:id="rId42" display="https://cdn.shopify.com/s/files/1/0613/1168/0689/files/1450P__1.jpg?v=1749582620"/>
    <hyperlink ref="Q23" r:id="rId43" display="https://www.duromaxpower.com/products/reliance-ll550c-12-000-watt-50-amp-generator-power-cord-plug"/>
    <hyperlink ref="R23" r:id="rId44" display="https://cdn.shopify.com/s/files/1/0613/1168/0689/files/LL550C__1.jpg?v=1749582617"/>
    <hyperlink ref="Q24" r:id="rId45" display="https://www.duromaxpower.com/products/reliance-pc3020k-20-foot-20-30-amp-outdoor-power-cord-kit"/>
    <hyperlink ref="R24" r:id="rId46" display="https://cdn.shopify.com/s/files/1/0613/1168/0689/files/PC3020K_1.jpg?v=1749582619"/>
    <hyperlink ref="Q25" r:id="rId47" display="https://www.duromaxpower.com/products/reliance-pc3040-40-foot-30-amp-120-240-volt-power-cord"/>
    <hyperlink ref="R25" r:id="rId48" display="https://cdn.shopify.com/s/files/1/0613/1168/0689/files/PC3040_1.jpg?v=1749582612"/>
    <hyperlink ref="Q26" r:id="rId49" display="https://www.duromaxpower.com/products/reliance-pc3050-50-foot-30-amp-4-prong-generator-power-cord"/>
    <hyperlink ref="R26" r:id="rId50" display="https://cdn.shopify.com/s/files/1/0613/1168/0689/files/PC3050__1.jpg?v=1749582616"/>
    <hyperlink ref="Q27" r:id="rId51" display="https://www.duromaxpower.com/products/reliance-pc3110m-10-30-amp-120v-3-prong-generator-power-cord-w-molded-ends"/>
    <hyperlink ref="R27" r:id="rId52" display="https://cdn.shopify.com/s/files/1/0613/1168/0689/files/PC3110M_1.jpg?v=1749582567"/>
    <hyperlink ref="Q28" r:id="rId53" display="https://www.duromaxpower.com/products/reliance-pc3120-20-foot-30-amp-generator-power-cord"/>
    <hyperlink ref="R28" r:id="rId54" display="https://cdn.shopify.com/s/files/1/0613/1168/0689/files/PC3120__1.jpg?v=1749582620"/>
    <hyperlink ref="Q29" r:id="rId55" display="https://www.duromaxpower.com/products/reliance-pc5020-14-20-foot-50-amp-generator-power-cord"/>
    <hyperlink ref="R29" r:id="rId56" display="https://cdn.shopify.com/s/files/1/0613/1168/0689/files/PC5020-14_1.jpg?v=1749582614"/>
    <hyperlink ref="Q30" r:id="rId57" display="https://www.duromaxpower.com/products/reliance-pc5025-14m-25-foot-50-amp-generator-power-cord"/>
    <hyperlink ref="R30" r:id="rId58" display="https://cdn.shopify.com/s/files/1/0613/1168/0689/files/PC5025-14M_1.jpg?v=1749582578"/>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9"/>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4"/>
    <col collapsed="false" customWidth="true" hidden="false" outlineLevel="0" max="3" min="3" style="0" width="9"/>
    <col collapsed="false" customWidth="true" hidden="false" outlineLevel="0" max="4" min="4" style="0" width="8"/>
    <col collapsed="false" customWidth="true" hidden="false" outlineLevel="0" max="5" min="5" style="0" width="22"/>
    <col collapsed="false" customWidth="true" hidden="false" outlineLevel="0" max="6" min="6" style="0" width="34"/>
    <col collapsed="false" customWidth="true" hidden="false" outlineLevel="0" max="7" min="7" style="0" width="50"/>
    <col collapsed="false" customWidth="true" hidden="false" outlineLevel="0" max="8" min="8" style="0" width="40"/>
    <col collapsed="false" customWidth="true" hidden="false" outlineLevel="0" max="9" min="9" style="0" width="50"/>
    <col collapsed="false" customWidth="true" hidden="false" outlineLevel="0" max="11" min="10" style="0" width="40"/>
    <col collapsed="false" customWidth="true" hidden="false" outlineLevel="0" max="12" min="12" style="0" width="60"/>
  </cols>
  <sheetData>
    <row r="1" customFormat="false" ht="31.5" hidden="false" customHeight="true" outlineLevel="0" collapsed="false">
      <c r="A1" s="15" t="s">
        <v>463</v>
      </c>
      <c r="B1" s="15" t="s">
        <v>464</v>
      </c>
      <c r="C1" s="15" t="s">
        <v>465</v>
      </c>
      <c r="D1" s="15" t="s">
        <v>466</v>
      </c>
      <c r="E1" s="15" t="s">
        <v>1041</v>
      </c>
      <c r="F1" s="15" t="s">
        <v>1042</v>
      </c>
      <c r="G1" s="15" t="s">
        <v>1043</v>
      </c>
      <c r="H1" s="15" t="s">
        <v>1044</v>
      </c>
      <c r="I1" s="15" t="s">
        <v>481</v>
      </c>
      <c r="J1" s="15" t="s">
        <v>95</v>
      </c>
      <c r="K1" s="15" t="s">
        <v>96</v>
      </c>
      <c r="L1" s="15" t="s">
        <v>97</v>
      </c>
    </row>
    <row r="2" customFormat="false" ht="60" hidden="false" customHeight="true" outlineLevel="0" collapsed="false">
      <c r="A2" s="17" t="s">
        <v>1045</v>
      </c>
      <c r="B2" s="18" t="s">
        <v>1046</v>
      </c>
      <c r="C2" s="32" t="n">
        <v>249</v>
      </c>
      <c r="D2" s="16" t="s">
        <v>105</v>
      </c>
      <c r="E2" s="16" t="s">
        <v>1047</v>
      </c>
      <c r="F2" s="16" t="s">
        <v>1048</v>
      </c>
      <c r="G2" s="18" t="s">
        <v>1049</v>
      </c>
      <c r="H2" s="18" t="s">
        <v>1050</v>
      </c>
      <c r="I2" s="18" t="s">
        <v>1051</v>
      </c>
      <c r="J2" s="26" t="s">
        <v>1052</v>
      </c>
      <c r="K2" s="26" t="s">
        <v>1053</v>
      </c>
      <c r="L2" s="18" t="s">
        <v>1054</v>
      </c>
    </row>
    <row r="3" customFormat="false" ht="60" hidden="false" customHeight="true" outlineLevel="0" collapsed="false">
      <c r="A3" s="17" t="s">
        <v>1055</v>
      </c>
      <c r="B3" s="18" t="s">
        <v>1056</v>
      </c>
      <c r="C3" s="32" t="n">
        <v>249</v>
      </c>
      <c r="D3" s="16" t="s">
        <v>105</v>
      </c>
      <c r="E3" s="16" t="s">
        <v>1047</v>
      </c>
      <c r="F3" s="16" t="s">
        <v>1048</v>
      </c>
      <c r="G3" s="18" t="s">
        <v>1057</v>
      </c>
      <c r="H3" s="18" t="s">
        <v>1058</v>
      </c>
      <c r="I3" s="18" t="s">
        <v>1059</v>
      </c>
      <c r="J3" s="26" t="s">
        <v>1060</v>
      </c>
      <c r="K3" s="26" t="s">
        <v>1061</v>
      </c>
      <c r="L3" s="18" t="s">
        <v>1054</v>
      </c>
    </row>
    <row r="4" customFormat="false" ht="60" hidden="false" customHeight="true" outlineLevel="0" collapsed="false">
      <c r="A4" s="17" t="s">
        <v>1062</v>
      </c>
      <c r="B4" s="18" t="s">
        <v>1063</v>
      </c>
      <c r="C4" s="32" t="n">
        <v>640</v>
      </c>
      <c r="D4" s="16" t="s">
        <v>105</v>
      </c>
      <c r="E4" s="16" t="s">
        <v>1064</v>
      </c>
      <c r="F4" s="16" t="s">
        <v>1065</v>
      </c>
      <c r="G4" s="18" t="s">
        <v>1066</v>
      </c>
      <c r="H4" s="18" t="s">
        <v>1067</v>
      </c>
      <c r="I4" s="18" t="s">
        <v>1068</v>
      </c>
      <c r="J4" s="26" t="s">
        <v>1069</v>
      </c>
      <c r="K4" s="26" t="s">
        <v>1070</v>
      </c>
      <c r="L4" s="18" t="s">
        <v>1071</v>
      </c>
    </row>
    <row r="5" customFormat="false" ht="60" hidden="false" customHeight="true" outlineLevel="0" collapsed="false">
      <c r="A5" s="17" t="s">
        <v>1072</v>
      </c>
      <c r="B5" s="18" t="s">
        <v>1073</v>
      </c>
      <c r="C5" s="32" t="n">
        <v>257</v>
      </c>
      <c r="D5" s="16" t="s">
        <v>105</v>
      </c>
      <c r="E5" s="16" t="s">
        <v>1047</v>
      </c>
      <c r="F5" s="16" t="s">
        <v>1048</v>
      </c>
      <c r="G5" s="18" t="s">
        <v>1074</v>
      </c>
      <c r="H5" s="18" t="s">
        <v>1075</v>
      </c>
      <c r="I5" s="18" t="s">
        <v>1076</v>
      </c>
      <c r="J5" s="26" t="s">
        <v>1077</v>
      </c>
      <c r="K5" s="26" t="s">
        <v>1078</v>
      </c>
      <c r="L5" s="18"/>
    </row>
    <row r="6" customFormat="false" ht="60" hidden="false" customHeight="true" outlineLevel="0" collapsed="false">
      <c r="A6" s="17" t="s">
        <v>1079</v>
      </c>
      <c r="B6" s="18" t="s">
        <v>1080</v>
      </c>
      <c r="C6" s="32" t="n">
        <v>257</v>
      </c>
      <c r="D6" s="16" t="s">
        <v>105</v>
      </c>
      <c r="E6" s="16" t="s">
        <v>1047</v>
      </c>
      <c r="F6" s="16" t="s">
        <v>1048</v>
      </c>
      <c r="G6" s="18" t="s">
        <v>1081</v>
      </c>
      <c r="H6" s="18" t="s">
        <v>1082</v>
      </c>
      <c r="I6" s="18" t="s">
        <v>1083</v>
      </c>
      <c r="J6" s="26" t="s">
        <v>1084</v>
      </c>
      <c r="K6" s="26" t="s">
        <v>1085</v>
      </c>
      <c r="L6" s="18"/>
    </row>
    <row r="7" customFormat="false" ht="60" hidden="false" customHeight="true" outlineLevel="0" collapsed="false">
      <c r="A7" s="17" t="s">
        <v>1086</v>
      </c>
      <c r="B7" s="18" t="s">
        <v>1087</v>
      </c>
      <c r="C7" s="32" t="n">
        <v>879</v>
      </c>
      <c r="D7" s="16" t="s">
        <v>105</v>
      </c>
      <c r="E7" s="16" t="s">
        <v>1088</v>
      </c>
      <c r="F7" s="16" t="s">
        <v>1089</v>
      </c>
      <c r="G7" s="18" t="s">
        <v>1090</v>
      </c>
      <c r="H7" s="18" t="s">
        <v>1091</v>
      </c>
      <c r="I7" s="18" t="s">
        <v>1092</v>
      </c>
      <c r="J7" s="26" t="s">
        <v>1093</v>
      </c>
      <c r="K7" s="26" t="s">
        <v>1094</v>
      </c>
      <c r="L7" s="18" t="s">
        <v>1095</v>
      </c>
    </row>
    <row r="8" customFormat="false" ht="60" hidden="false" customHeight="true" outlineLevel="0" collapsed="false">
      <c r="A8" s="17" t="s">
        <v>1096</v>
      </c>
      <c r="B8" s="18" t="s">
        <v>1097</v>
      </c>
      <c r="C8" s="32" t="n">
        <v>339</v>
      </c>
      <c r="D8" s="16" t="s">
        <v>105</v>
      </c>
      <c r="E8" s="16" t="s">
        <v>1098</v>
      </c>
      <c r="F8" s="16" t="s">
        <v>1089</v>
      </c>
      <c r="G8" s="18" t="s">
        <v>1099</v>
      </c>
      <c r="H8" s="18" t="s">
        <v>1100</v>
      </c>
      <c r="I8" s="18" t="s">
        <v>1101</v>
      </c>
      <c r="J8" s="26" t="s">
        <v>1102</v>
      </c>
      <c r="K8" s="26" t="s">
        <v>1103</v>
      </c>
      <c r="L8" s="18" t="s">
        <v>1104</v>
      </c>
    </row>
    <row r="9" customFormat="false" ht="60" hidden="false" customHeight="true" outlineLevel="0" collapsed="false">
      <c r="A9" s="17" t="s">
        <v>1105</v>
      </c>
      <c r="B9" s="18" t="s">
        <v>1106</v>
      </c>
      <c r="C9" s="32" t="n">
        <v>679</v>
      </c>
      <c r="D9" s="16" t="s">
        <v>103</v>
      </c>
      <c r="E9" s="16" t="s">
        <v>1107</v>
      </c>
      <c r="F9" s="16" t="s">
        <v>1108</v>
      </c>
      <c r="G9" s="18" t="s">
        <v>1109</v>
      </c>
      <c r="H9" s="18" t="s">
        <v>1110</v>
      </c>
      <c r="I9" s="18" t="s">
        <v>1111</v>
      </c>
      <c r="J9" s="26" t="s">
        <v>1112</v>
      </c>
      <c r="K9" s="26" t="s">
        <v>1113</v>
      </c>
      <c r="L9" s="18" t="s">
        <v>1114</v>
      </c>
    </row>
  </sheetData>
  <autoFilter ref="A1:L9"/>
  <hyperlinks>
    <hyperlink ref="J2" r:id="rId1" display="https://www.duromaxpower.com/products/airgo-16-32a-ac-soft-starter-motor-protection-for-utility-and-or-generator-power"/>
    <hyperlink ref="K2" r:id="rId2" display="https://cdn.shopify.com/s/files/1/0613/1168/0689/files/AGO-AirGo16-32A_1.jpg?v=1749582389"/>
    <hyperlink ref="J3" r:id="rId3" display="https://www.duromaxpower.com/products/airgo-8-16a-ac-soft-starter-motor-protection-for-utility-and-or-generator-power"/>
    <hyperlink ref="K3" r:id="rId4" display="https://cdn.shopify.com/s/files/1/0613/1168/0689/files/AGO-AirGo8-16A_1.jpg?v=1749582391"/>
    <hyperlink ref="J4" r:id="rId5" display="https://www.duromaxpower.com/products/airgo-ec-32a-soft-start-controller-replacement-for-well-pumps"/>
    <hyperlink ref="K4" r:id="rId6" display="https://cdn.shopify.com/s/files/1/0613/1168/0689/files/AIRGO-EC-Complete-Kit-32A_01.png?v=1783525473"/>
    <hyperlink ref="J5" r:id="rId7" display="https://www.duromaxpower.com/products/airgo-g3-16-32a-soft-start-controller-for-hvac-systems-up-to-7-ton"/>
    <hyperlink ref="K5" r:id="rId8" display="https://cdn.shopify.com/s/files/1/0613/1168/0689/files/AIRGO-G3-16-32_01.png?v=1783525257"/>
    <hyperlink ref="J6" r:id="rId9" display="https://www.duromaxpower.com/products/airgo-g3-8-16a-soft-start-controller-for-hvac-systems-up-to-3-ton"/>
    <hyperlink ref="K6" r:id="rId10" display="https://cdn.shopify.com/s/files/1/0613/1168/0689/files/AIRGO-G3-8-16_01.png?v=1783525055"/>
    <hyperlink ref="J7" r:id="rId11" display="https://www.duromaxpower.com/products/airgo-nc37a-no-capacitor-dynamic-drive-controller"/>
    <hyperlink ref="K7" r:id="rId12" display="https://cdn.shopify.com/s/files/1/0613/1168/0689/files/AIRGO-NC37_01.png?v=1783525601"/>
    <hyperlink ref="J8" r:id="rId13" display="https://www.duromaxpower.com/products/airgo-ss-25a-solid-state-soft-start-controller"/>
    <hyperlink ref="K8" r:id="rId14" display="https://cdn.shopify.com/s/files/1/0613/1168/0689/files/AIRGO-SS25_01.png?v=1783525729"/>
    <hyperlink ref="J9" r:id="rId15" display="https://www.duromaxpower.com/products/cargo-40a-level-2-ev-charger-for-electric-vehicles"/>
    <hyperlink ref="K9" r:id="rId16" display="https://cdn.shopify.com/s/files/1/0613/1168/0689/files/CARGO-40A_01.png?v=178352590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7"/>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9.7" hidden="false" customHeight="false" outlineLevel="0" collapsed="false">
      <c r="A1" s="1" t="s">
        <v>1115</v>
      </c>
    </row>
    <row r="2" customFormat="false" ht="15" hidden="false" customHeight="false" outlineLevel="0" collapsed="false">
      <c r="A2" s="2" t="s">
        <v>1116</v>
      </c>
    </row>
    <row r="3" customFormat="false" ht="15" hidden="false" customHeight="false" outlineLevel="0" collapsed="false">
      <c r="A3" s="2"/>
    </row>
    <row r="4" customFormat="false" ht="15" hidden="false" customHeight="false" outlineLevel="0" collapsed="false">
      <c r="A4" s="3" t="s">
        <v>1117</v>
      </c>
    </row>
    <row r="5" customFormat="false" ht="15" hidden="false" customHeight="false" outlineLevel="0" collapsed="false">
      <c r="A5" s="2" t="s">
        <v>1118</v>
      </c>
    </row>
    <row r="6" customFormat="false" ht="15" hidden="false" customHeight="false" outlineLevel="0" collapsed="false">
      <c r="A6" s="2" t="s">
        <v>1119</v>
      </c>
    </row>
    <row r="7" customFormat="false" ht="15" hidden="false" customHeight="false" outlineLevel="0" collapsed="false">
      <c r="A7" s="2" t="s">
        <v>1120</v>
      </c>
    </row>
    <row r="8" customFormat="false" ht="15" hidden="false" customHeight="false" outlineLevel="0" collapsed="false">
      <c r="A8" s="2"/>
    </row>
    <row r="9" customFormat="false" ht="15" hidden="false" customHeight="false" outlineLevel="0" collapsed="false">
      <c r="A9" s="3" t="s">
        <v>1121</v>
      </c>
    </row>
    <row r="10" customFormat="false" ht="23.85" hidden="false" customHeight="false" outlineLevel="0" collapsed="false">
      <c r="A10" s="2" t="s">
        <v>1122</v>
      </c>
    </row>
    <row r="11" customFormat="false" ht="15" hidden="false" customHeight="false" outlineLevel="0" collapsed="false">
      <c r="A11" s="2" t="s">
        <v>1123</v>
      </c>
    </row>
    <row r="12" customFormat="false" ht="15" hidden="false" customHeight="false" outlineLevel="0" collapsed="false">
      <c r="A12" s="2" t="s">
        <v>1124</v>
      </c>
    </row>
    <row r="13" customFormat="false" ht="15" hidden="false" customHeight="false" outlineLevel="0" collapsed="false">
      <c r="A13" s="2" t="s">
        <v>1125</v>
      </c>
    </row>
    <row r="14" customFormat="false" ht="15" hidden="false" customHeight="false" outlineLevel="0" collapsed="false">
      <c r="A14" s="2" t="s">
        <v>1126</v>
      </c>
    </row>
    <row r="15" customFormat="false" ht="15" hidden="false" customHeight="false" outlineLevel="0" collapsed="false">
      <c r="A15" s="2" t="s">
        <v>1127</v>
      </c>
    </row>
    <row r="16" customFormat="false" ht="15" hidden="false" customHeight="false" outlineLevel="0" collapsed="false">
      <c r="A16" s="2"/>
    </row>
    <row r="17" customFormat="false" ht="15" hidden="false" customHeight="false" outlineLevel="0" collapsed="false">
      <c r="A17" s="3" t="s">
        <v>1128</v>
      </c>
    </row>
    <row r="18" customFormat="false" ht="15" hidden="false" customHeight="false" outlineLevel="0" collapsed="false">
      <c r="A18" s="2" t="s">
        <v>1129</v>
      </c>
    </row>
    <row r="19" customFormat="false" ht="35.05" hidden="false" customHeight="false" outlineLevel="0" collapsed="false">
      <c r="A19" s="2" t="s">
        <v>1130</v>
      </c>
    </row>
    <row r="20" customFormat="false" ht="23.85" hidden="false" customHeight="false" outlineLevel="0" collapsed="false">
      <c r="A20" s="2" t="s">
        <v>1131</v>
      </c>
    </row>
    <row r="21" customFormat="false" ht="15" hidden="false" customHeight="false" outlineLevel="0" collapsed="false">
      <c r="A21" s="2" t="s">
        <v>1132</v>
      </c>
    </row>
    <row r="22" customFormat="false" ht="23.85" hidden="false" customHeight="false" outlineLevel="0" collapsed="false">
      <c r="A22" s="2" t="s">
        <v>1133</v>
      </c>
    </row>
    <row r="23" customFormat="false" ht="15" hidden="false" customHeight="false" outlineLevel="0" collapsed="false">
      <c r="A23" s="2" t="s">
        <v>1134</v>
      </c>
    </row>
    <row r="24" customFormat="false" ht="15" hidden="false" customHeight="false" outlineLevel="0" collapsed="false">
      <c r="A24" s="2"/>
    </row>
    <row r="25" customFormat="false" ht="15" hidden="false" customHeight="false" outlineLevel="0" collapsed="false">
      <c r="A25" s="3" t="s">
        <v>1135</v>
      </c>
    </row>
    <row r="26" customFormat="false" ht="15" hidden="false" customHeight="false" outlineLevel="0" collapsed="false">
      <c r="A26" s="2" t="s">
        <v>1136</v>
      </c>
    </row>
    <row r="27" customFormat="false" ht="15" hidden="false" customHeight="false" outlineLevel="0" collapsed="false">
      <c r="A27" s="2" t="s">
        <v>1137</v>
      </c>
    </row>
    <row r="28" customFormat="false" ht="15" hidden="false" customHeight="false" outlineLevel="0" collapsed="false">
      <c r="A28" s="2" t="s">
        <v>1138</v>
      </c>
    </row>
    <row r="29" customFormat="false" ht="15" hidden="false" customHeight="false" outlineLevel="0" collapsed="false">
      <c r="A29" s="2" t="s">
        <v>1139</v>
      </c>
    </row>
    <row r="30" customFormat="false" ht="15" hidden="false" customHeight="false" outlineLevel="0" collapsed="false">
      <c r="A30" s="2"/>
    </row>
    <row r="31" customFormat="false" ht="15" hidden="false" customHeight="false" outlineLevel="0" collapsed="false">
      <c r="A31" s="3" t="s">
        <v>1140</v>
      </c>
    </row>
    <row r="32" customFormat="false" ht="23.85" hidden="false" customHeight="false" outlineLevel="0" collapsed="false">
      <c r="A32" s="2" t="s">
        <v>1141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110"/>
  </cols>
  <sheetData>
    <row r="1" customFormat="false" ht="15" hidden="false" customHeight="false" outlineLevel="0" collapsed="false">
      <c r="A1" s="33" t="s">
        <v>1142</v>
      </c>
      <c r="B1" s="33" t="s">
        <v>1143</v>
      </c>
      <c r="C1" s="33" t="s">
        <v>1144</v>
      </c>
    </row>
    <row r="2" customFormat="false" ht="23.85" hidden="false" customHeight="false" outlineLevel="0" collapsed="false">
      <c r="A2" s="34" t="s">
        <v>1145</v>
      </c>
      <c r="B2" s="34" t="s">
        <v>149</v>
      </c>
      <c r="C2" s="34" t="s">
        <v>1146</v>
      </c>
    </row>
    <row r="3" customFormat="false" ht="15" hidden="false" customHeight="false" outlineLevel="0" collapsed="false">
      <c r="A3" s="34" t="s">
        <v>1145</v>
      </c>
      <c r="B3" s="34" t="s">
        <v>142</v>
      </c>
      <c r="C3" s="34" t="s">
        <v>1147</v>
      </c>
    </row>
    <row r="4" customFormat="false" ht="15" hidden="false" customHeight="false" outlineLevel="0" collapsed="false">
      <c r="A4" s="34" t="s">
        <v>1145</v>
      </c>
      <c r="B4" s="34" t="s">
        <v>199</v>
      </c>
      <c r="C4" s="34" t="s">
        <v>1148</v>
      </c>
    </row>
    <row r="5" customFormat="false" ht="15" hidden="false" customHeight="false" outlineLevel="0" collapsed="false">
      <c r="A5" s="34" t="s">
        <v>1145</v>
      </c>
      <c r="B5" s="34" t="s">
        <v>211</v>
      </c>
      <c r="C5" s="34" t="s">
        <v>1149</v>
      </c>
    </row>
    <row r="6" customFormat="false" ht="15" hidden="false" customHeight="false" outlineLevel="0" collapsed="false">
      <c r="A6" s="34" t="s">
        <v>1145</v>
      </c>
      <c r="B6" s="34" t="s">
        <v>132</v>
      </c>
      <c r="C6" s="34" t="s">
        <v>1150</v>
      </c>
    </row>
    <row r="7" customFormat="false" ht="15" hidden="false" customHeight="false" outlineLevel="0" collapsed="false">
      <c r="A7" s="34" t="s">
        <v>1145</v>
      </c>
      <c r="B7" s="34" t="s">
        <v>266</v>
      </c>
      <c r="C7" s="34" t="s">
        <v>1151</v>
      </c>
    </row>
    <row r="8" customFormat="false" ht="15" hidden="false" customHeight="false" outlineLevel="0" collapsed="false">
      <c r="A8" s="34" t="s">
        <v>1145</v>
      </c>
      <c r="B8" s="34" t="s">
        <v>1152</v>
      </c>
      <c r="C8" s="34" t="s">
        <v>1153</v>
      </c>
    </row>
    <row r="9" customFormat="false" ht="15" hidden="false" customHeight="false" outlineLevel="0" collapsed="false">
      <c r="A9" s="34" t="s">
        <v>1145</v>
      </c>
      <c r="B9" s="34" t="s">
        <v>1154</v>
      </c>
      <c r="C9" s="34" t="s">
        <v>1155</v>
      </c>
    </row>
    <row r="10" customFormat="false" ht="15" hidden="false" customHeight="false" outlineLevel="0" collapsed="false">
      <c r="A10" s="34" t="s">
        <v>1145</v>
      </c>
      <c r="B10" s="34" t="s">
        <v>314</v>
      </c>
      <c r="C10" s="34" t="s">
        <v>1156</v>
      </c>
    </row>
    <row r="11" customFormat="false" ht="15" hidden="false" customHeight="false" outlineLevel="0" collapsed="false">
      <c r="A11" s="34" t="s">
        <v>1145</v>
      </c>
      <c r="B11" s="34" t="s">
        <v>250</v>
      </c>
      <c r="C11" s="34" t="s">
        <v>1157</v>
      </c>
    </row>
    <row r="12" customFormat="false" ht="15" hidden="false" customHeight="false" outlineLevel="0" collapsed="false">
      <c r="A12" s="34" t="s">
        <v>1145</v>
      </c>
      <c r="B12" s="34" t="s">
        <v>237</v>
      </c>
      <c r="C12" s="34" t="s">
        <v>1158</v>
      </c>
    </row>
    <row r="13" customFormat="false" ht="15" hidden="false" customHeight="false" outlineLevel="0" collapsed="false">
      <c r="A13" s="34" t="s">
        <v>1145</v>
      </c>
      <c r="B13" s="34" t="s">
        <v>1159</v>
      </c>
      <c r="C13" s="34" t="s">
        <v>1160</v>
      </c>
    </row>
    <row r="14" customFormat="false" ht="15" hidden="false" customHeight="false" outlineLevel="0" collapsed="false">
      <c r="A14" s="34" t="s">
        <v>1145</v>
      </c>
      <c r="B14" s="34" t="s">
        <v>229</v>
      </c>
      <c r="C14" s="34" t="s">
        <v>1161</v>
      </c>
    </row>
    <row r="15" customFormat="false" ht="15" hidden="false" customHeight="false" outlineLevel="0" collapsed="false">
      <c r="A15" s="34" t="s">
        <v>1145</v>
      </c>
      <c r="B15" s="34" t="s">
        <v>192</v>
      </c>
      <c r="C15" s="34" t="s">
        <v>1162</v>
      </c>
    </row>
    <row r="16" customFormat="false" ht="15" hidden="false" customHeight="false" outlineLevel="0" collapsed="false">
      <c r="A16" s="34" t="s">
        <v>1145</v>
      </c>
      <c r="B16" s="34" t="s">
        <v>398</v>
      </c>
      <c r="C16" s="34" t="s">
        <v>1163</v>
      </c>
    </row>
    <row r="17" customFormat="false" ht="15" hidden="false" customHeight="false" outlineLevel="0" collapsed="false">
      <c r="A17" s="34" t="s">
        <v>1145</v>
      </c>
      <c r="B17" s="34" t="s">
        <v>1164</v>
      </c>
      <c r="C17" s="34" t="s">
        <v>1165</v>
      </c>
    </row>
    <row r="18" customFormat="false" ht="15" hidden="false" customHeight="false" outlineLevel="0" collapsed="false">
      <c r="A18" s="34" t="s">
        <v>1145</v>
      </c>
      <c r="B18" s="34" t="s">
        <v>1166</v>
      </c>
      <c r="C18" s="34" t="s">
        <v>1167</v>
      </c>
    </row>
    <row r="19" customFormat="false" ht="15" hidden="false" customHeight="false" outlineLevel="0" collapsed="false">
      <c r="A19" s="34" t="s">
        <v>1145</v>
      </c>
      <c r="B19" s="34" t="s">
        <v>250</v>
      </c>
      <c r="C19" s="34" t="s">
        <v>1168</v>
      </c>
    </row>
    <row r="20" customFormat="false" ht="23.85" hidden="false" customHeight="false" outlineLevel="0" collapsed="false">
      <c r="A20" s="34" t="s">
        <v>1145</v>
      </c>
      <c r="B20" s="34" t="s">
        <v>1169</v>
      </c>
      <c r="C20" s="34" t="s">
        <v>1170</v>
      </c>
    </row>
    <row r="21" customFormat="false" ht="35.05" hidden="false" customHeight="false" outlineLevel="0" collapsed="false">
      <c r="A21" s="34" t="s">
        <v>1145</v>
      </c>
      <c r="B21" s="34" t="s">
        <v>1171</v>
      </c>
      <c r="C21" s="34" t="s">
        <v>1172</v>
      </c>
    </row>
    <row r="22" customFormat="false" ht="23.85" hidden="false" customHeight="false" outlineLevel="0" collapsed="false">
      <c r="A22" s="34" t="s">
        <v>434</v>
      </c>
      <c r="B22" s="34" t="s">
        <v>1173</v>
      </c>
      <c r="C22" s="34" t="s">
        <v>1174</v>
      </c>
    </row>
    <row r="23" customFormat="false" ht="15" hidden="false" customHeight="false" outlineLevel="0" collapsed="false">
      <c r="A23" s="34" t="s">
        <v>1145</v>
      </c>
      <c r="B23" s="34" t="s">
        <v>1175</v>
      </c>
      <c r="C23" s="34" t="s">
        <v>1176</v>
      </c>
    </row>
    <row r="24" customFormat="false" ht="15" hidden="false" customHeight="false" outlineLevel="0" collapsed="false">
      <c r="A24" s="34" t="s">
        <v>434</v>
      </c>
      <c r="B24" s="34" t="s">
        <v>1177</v>
      </c>
      <c r="C24" s="34" t="s">
        <v>1178</v>
      </c>
    </row>
    <row r="25" customFormat="false" ht="15" hidden="false" customHeight="false" outlineLevel="0" collapsed="false">
      <c r="A25" s="34" t="s">
        <v>434</v>
      </c>
      <c r="B25" s="34" t="s">
        <v>512</v>
      </c>
      <c r="C25" s="34" t="s">
        <v>1179</v>
      </c>
    </row>
    <row r="26" customFormat="false" ht="15" hidden="false" customHeight="false" outlineLevel="0" collapsed="false">
      <c r="A26" s="34" t="s">
        <v>434</v>
      </c>
      <c r="B26" s="34" t="s">
        <v>1180</v>
      </c>
      <c r="C26" s="34" t="s">
        <v>1181</v>
      </c>
    </row>
    <row r="27" customFormat="false" ht="15" hidden="false" customHeight="false" outlineLevel="0" collapsed="false">
      <c r="A27" s="34" t="s">
        <v>434</v>
      </c>
      <c r="B27" s="34" t="s">
        <v>1182</v>
      </c>
      <c r="C27" s="34" t="s">
        <v>1183</v>
      </c>
    </row>
    <row r="28" customFormat="false" ht="15" hidden="false" customHeight="false" outlineLevel="0" collapsed="false">
      <c r="A28" s="34" t="s">
        <v>434</v>
      </c>
      <c r="B28" s="34" t="s">
        <v>605</v>
      </c>
      <c r="C28" s="34" t="s">
        <v>1184</v>
      </c>
    </row>
    <row r="29" customFormat="false" ht="15" hidden="false" customHeight="false" outlineLevel="0" collapsed="false">
      <c r="A29" s="34" t="s">
        <v>434</v>
      </c>
      <c r="B29" s="34" t="s">
        <v>551</v>
      </c>
      <c r="C29" s="34" t="s">
        <v>1185</v>
      </c>
    </row>
    <row r="30" customFormat="false" ht="23.85" hidden="false" customHeight="false" outlineLevel="0" collapsed="false">
      <c r="A30" s="34" t="s">
        <v>434</v>
      </c>
      <c r="B30" s="34" t="s">
        <v>1186</v>
      </c>
      <c r="C30" s="34" t="s">
        <v>1187</v>
      </c>
    </row>
    <row r="31" customFormat="false" ht="15" hidden="false" customHeight="false" outlineLevel="0" collapsed="false">
      <c r="A31" s="34" t="s">
        <v>1188</v>
      </c>
      <c r="B31" s="34" t="s">
        <v>728</v>
      </c>
      <c r="C31" s="34" t="s">
        <v>1189</v>
      </c>
    </row>
    <row r="32" customFormat="false" ht="15" hidden="false" customHeight="false" outlineLevel="0" collapsed="false">
      <c r="A32" s="34" t="s">
        <v>1188</v>
      </c>
      <c r="B32" s="34" t="s">
        <v>751</v>
      </c>
      <c r="C32" s="34" t="s">
        <v>1190</v>
      </c>
    </row>
    <row r="33" customFormat="false" ht="15" hidden="false" customHeight="false" outlineLevel="0" collapsed="false">
      <c r="A33" s="34" t="s">
        <v>1188</v>
      </c>
      <c r="B33" s="34" t="s">
        <v>771</v>
      </c>
      <c r="C33" s="34" t="s">
        <v>1191</v>
      </c>
    </row>
    <row r="34" customFormat="false" ht="15" hidden="false" customHeight="false" outlineLevel="0" collapsed="false">
      <c r="A34" s="34" t="s">
        <v>1188</v>
      </c>
      <c r="B34" s="34" t="s">
        <v>761</v>
      </c>
      <c r="C34" s="34" t="s">
        <v>1185</v>
      </c>
    </row>
    <row r="35" customFormat="false" ht="23.85" hidden="false" customHeight="false" outlineLevel="0" collapsed="false">
      <c r="A35" s="34" t="s">
        <v>1188</v>
      </c>
      <c r="B35" s="34" t="s">
        <v>1192</v>
      </c>
      <c r="C35" s="34" t="s">
        <v>1193</v>
      </c>
    </row>
    <row r="36" customFormat="false" ht="15" hidden="false" customHeight="false" outlineLevel="0" collapsed="false">
      <c r="A36" s="34" t="s">
        <v>1188</v>
      </c>
      <c r="B36" s="34" t="s">
        <v>1173</v>
      </c>
      <c r="C36" s="34" t="s">
        <v>1194</v>
      </c>
    </row>
    <row r="37" customFormat="false" ht="15" hidden="false" customHeight="false" outlineLevel="0" collapsed="false">
      <c r="A37" s="34" t="s">
        <v>1195</v>
      </c>
      <c r="B37" s="34" t="s">
        <v>1196</v>
      </c>
      <c r="C37" s="34" t="s">
        <v>1197</v>
      </c>
    </row>
    <row r="38" customFormat="false" ht="15" hidden="false" customHeight="false" outlineLevel="0" collapsed="false">
      <c r="A38" s="34" t="s">
        <v>1195</v>
      </c>
      <c r="B38" s="34" t="s">
        <v>1198</v>
      </c>
      <c r="C38" s="34" t="s">
        <v>1199</v>
      </c>
    </row>
    <row r="39" customFormat="false" ht="15" hidden="false" customHeight="false" outlineLevel="0" collapsed="false">
      <c r="A39" s="34" t="s">
        <v>1195</v>
      </c>
      <c r="B39" s="34" t="s">
        <v>860</v>
      </c>
      <c r="C39" s="34" t="s">
        <v>1200</v>
      </c>
    </row>
    <row r="40" customFormat="false" ht="15" hidden="false" customHeight="false" outlineLevel="0" collapsed="false">
      <c r="A40" s="34" t="s">
        <v>1195</v>
      </c>
      <c r="B40" s="34" t="s">
        <v>1201</v>
      </c>
      <c r="C40" s="34" t="s">
        <v>1185</v>
      </c>
    </row>
    <row r="41" customFormat="false" ht="15" hidden="false" customHeight="false" outlineLevel="0" collapsed="false">
      <c r="A41" s="34" t="s">
        <v>1202</v>
      </c>
      <c r="B41" s="34" t="s">
        <v>962</v>
      </c>
      <c r="C41" s="34" t="s">
        <v>1203</v>
      </c>
    </row>
    <row r="42" customFormat="false" ht="15" hidden="false" customHeight="false" outlineLevel="0" collapsed="false">
      <c r="A42" s="34" t="s">
        <v>1202</v>
      </c>
      <c r="B42" s="34" t="s">
        <v>1204</v>
      </c>
      <c r="C42" s="34" t="s">
        <v>1205</v>
      </c>
    </row>
    <row r="43" customFormat="false" ht="15" hidden="false" customHeight="false" outlineLevel="0" collapsed="false">
      <c r="A43" s="34" t="s">
        <v>1202</v>
      </c>
      <c r="B43" s="34" t="s">
        <v>976</v>
      </c>
      <c r="C43" s="34" t="s">
        <v>1206</v>
      </c>
    </row>
    <row r="44" customFormat="false" ht="15" hidden="false" customHeight="false" outlineLevel="0" collapsed="false">
      <c r="A44" s="34" t="s">
        <v>1202</v>
      </c>
      <c r="B44" s="34" t="s">
        <v>988</v>
      </c>
      <c r="C44" s="34" t="s">
        <v>1207</v>
      </c>
    </row>
    <row r="45" customFormat="false" ht="15" hidden="false" customHeight="false" outlineLevel="0" collapsed="false">
      <c r="A45" s="34" t="s">
        <v>1202</v>
      </c>
      <c r="B45" s="34" t="s">
        <v>1208</v>
      </c>
      <c r="C45" s="34" t="s">
        <v>1209</v>
      </c>
    </row>
    <row r="46" customFormat="false" ht="15" hidden="false" customHeight="false" outlineLevel="0" collapsed="false">
      <c r="A46" s="34" t="s">
        <v>1202</v>
      </c>
      <c r="B46" s="34" t="s">
        <v>1210</v>
      </c>
      <c r="C46" s="34" t="s">
        <v>1211</v>
      </c>
    </row>
    <row r="47" customFormat="false" ht="15" hidden="false" customHeight="false" outlineLevel="0" collapsed="false">
      <c r="A47" s="34" t="s">
        <v>1202</v>
      </c>
      <c r="B47" s="34" t="s">
        <v>873</v>
      </c>
      <c r="C47" s="34" t="s">
        <v>1212</v>
      </c>
    </row>
    <row r="48" customFormat="false" ht="15" hidden="false" customHeight="false" outlineLevel="0" collapsed="false">
      <c r="A48" s="34" t="s">
        <v>1213</v>
      </c>
      <c r="B48" s="34" t="s">
        <v>1214</v>
      </c>
      <c r="C48" s="34" t="s">
        <v>1215</v>
      </c>
    </row>
    <row r="49" customFormat="false" ht="15" hidden="false" customHeight="false" outlineLevel="0" collapsed="false">
      <c r="A49" s="34" t="s">
        <v>1213</v>
      </c>
      <c r="B49" s="34" t="s">
        <v>1216</v>
      </c>
      <c r="C49" s="34" t="s">
        <v>1217</v>
      </c>
    </row>
    <row r="50" customFormat="false" ht="15" hidden="false" customHeight="false" outlineLevel="0" collapsed="false">
      <c r="A50" s="34" t="s">
        <v>1213</v>
      </c>
      <c r="B50" s="34" t="s">
        <v>1218</v>
      </c>
      <c r="C50" s="34" t="s">
        <v>1219</v>
      </c>
    </row>
  </sheetData>
  <autoFilter ref="A1:C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2026-09-24T04:24:32Z</dcterms:created>
  <dc:creator>openpyxl</dc:creator>
  <dc:description/>
  <dc:language>en-US</dc:language>
  <cp:lastModifiedBy/>
  <dcterms:modified xsi:type="dcterms:W3CDTF">2026-09-24T04:24:32Z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